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2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Wesley\Desktop\"/>
    </mc:Choice>
  </mc:AlternateContent>
  <bookViews>
    <workbookView xWindow="0" yWindow="0" windowWidth="14865" windowHeight="12750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92" i="2" l="1"/>
  <c r="D91" i="2"/>
  <c r="D90" i="2"/>
  <c r="D89" i="2"/>
  <c r="D88" i="2"/>
  <c r="D84" i="2"/>
  <c r="D83" i="2"/>
  <c r="D82" i="2"/>
  <c r="D81" i="2"/>
  <c r="D80" i="2"/>
  <c r="D77" i="2"/>
  <c r="D76" i="2"/>
  <c r="D75" i="2"/>
  <c r="D74" i="2"/>
  <c r="D73" i="2"/>
  <c r="D70" i="2"/>
  <c r="D69" i="2"/>
  <c r="D68" i="2"/>
  <c r="D67" i="2"/>
  <c r="D66" i="2"/>
  <c r="I52" i="2" l="1"/>
  <c r="I53" i="2"/>
  <c r="I54" i="2"/>
  <c r="I51" i="2"/>
  <c r="I45" i="2"/>
  <c r="I46" i="2"/>
  <c r="I47" i="2"/>
  <c r="I44" i="2"/>
  <c r="I38" i="2"/>
  <c r="I39" i="2"/>
  <c r="I40" i="2"/>
  <c r="I37" i="2"/>
  <c r="G39" i="2"/>
  <c r="G38" i="2"/>
  <c r="G37" i="2"/>
  <c r="G40" i="2"/>
  <c r="G46" i="2"/>
  <c r="G45" i="2"/>
  <c r="G44" i="2"/>
  <c r="G47" i="2"/>
  <c r="G51" i="2"/>
  <c r="G52" i="2"/>
  <c r="G53" i="2"/>
  <c r="G54" i="2"/>
  <c r="I10" i="2"/>
  <c r="I31" i="2"/>
  <c r="J31" i="2"/>
  <c r="K31" i="2"/>
  <c r="L31" i="2"/>
  <c r="M31" i="2"/>
  <c r="O31" i="2"/>
  <c r="N31" i="2"/>
  <c r="I30" i="2"/>
  <c r="J30" i="2"/>
  <c r="K30" i="2"/>
  <c r="L30" i="2"/>
  <c r="M30" i="2"/>
  <c r="O30" i="2"/>
  <c r="N30" i="2"/>
  <c r="I29" i="2"/>
  <c r="J29" i="2"/>
  <c r="K29" i="2"/>
  <c r="L29" i="2"/>
  <c r="M29" i="2"/>
  <c r="O29" i="2"/>
  <c r="N29" i="2"/>
  <c r="I28" i="2"/>
  <c r="J28" i="2"/>
  <c r="K28" i="2"/>
  <c r="L28" i="2"/>
  <c r="M28" i="2"/>
  <c r="O28" i="2"/>
  <c r="N28" i="2"/>
  <c r="I27" i="2"/>
  <c r="J27" i="2"/>
  <c r="K27" i="2"/>
  <c r="L27" i="2"/>
  <c r="M27" i="2"/>
  <c r="O27" i="2"/>
  <c r="N27" i="2"/>
  <c r="I26" i="2"/>
  <c r="J26" i="2"/>
  <c r="K26" i="2"/>
  <c r="L26" i="2"/>
  <c r="M26" i="2"/>
  <c r="O26" i="2"/>
  <c r="N26" i="2"/>
  <c r="I23" i="2"/>
  <c r="J23" i="2"/>
  <c r="K23" i="2"/>
  <c r="L23" i="2"/>
  <c r="M23" i="2"/>
  <c r="O23" i="2"/>
  <c r="N23" i="2"/>
  <c r="I22" i="2"/>
  <c r="J22" i="2"/>
  <c r="K22" i="2"/>
  <c r="L22" i="2"/>
  <c r="M22" i="2"/>
  <c r="O22" i="2"/>
  <c r="N22" i="2"/>
  <c r="I21" i="2"/>
  <c r="J21" i="2"/>
  <c r="K21" i="2"/>
  <c r="L21" i="2"/>
  <c r="M21" i="2"/>
  <c r="O21" i="2"/>
  <c r="N21" i="2"/>
  <c r="I20" i="2"/>
  <c r="J20" i="2"/>
  <c r="K20" i="2"/>
  <c r="L20" i="2"/>
  <c r="M20" i="2"/>
  <c r="O20" i="2"/>
  <c r="N20" i="2"/>
  <c r="I19" i="2"/>
  <c r="J19" i="2"/>
  <c r="K19" i="2"/>
  <c r="L19" i="2"/>
  <c r="M19" i="2"/>
  <c r="O19" i="2"/>
  <c r="N19" i="2"/>
  <c r="I18" i="2"/>
  <c r="J18" i="2"/>
  <c r="K18" i="2"/>
  <c r="L18" i="2"/>
  <c r="M18" i="2"/>
  <c r="O18" i="2"/>
  <c r="N18" i="2"/>
  <c r="I15" i="2"/>
  <c r="J15" i="2"/>
  <c r="K15" i="2"/>
  <c r="L15" i="2"/>
  <c r="M15" i="2"/>
  <c r="O15" i="2"/>
  <c r="N15" i="2"/>
  <c r="I14" i="2"/>
  <c r="J14" i="2"/>
  <c r="K14" i="2"/>
  <c r="L14" i="2"/>
  <c r="M14" i="2"/>
  <c r="O14" i="2"/>
  <c r="N14" i="2"/>
  <c r="I13" i="2"/>
  <c r="J13" i="2"/>
  <c r="K13" i="2"/>
  <c r="L13" i="2"/>
  <c r="M13" i="2"/>
  <c r="O13" i="2"/>
  <c r="N13" i="2"/>
  <c r="I12" i="2"/>
  <c r="J12" i="2"/>
  <c r="K12" i="2"/>
  <c r="L12" i="2"/>
  <c r="M12" i="2"/>
  <c r="O12" i="2"/>
  <c r="N12" i="2"/>
  <c r="I11" i="2"/>
  <c r="J11" i="2"/>
  <c r="K11" i="2"/>
  <c r="L11" i="2"/>
  <c r="M11" i="2"/>
  <c r="O11" i="2"/>
  <c r="N11" i="2"/>
  <c r="J10" i="2"/>
  <c r="K10" i="2"/>
  <c r="L10" i="2"/>
  <c r="M10" i="2"/>
  <c r="O10" i="2"/>
  <c r="N10" i="2"/>
  <c r="U72" i="1"/>
  <c r="U73" i="1"/>
  <c r="H3" i="1"/>
  <c r="H4" i="1"/>
  <c r="H5" i="1"/>
  <c r="H6" i="1"/>
  <c r="H7" i="1"/>
  <c r="H2" i="1"/>
  <c r="U98" i="1"/>
  <c r="U97" i="1"/>
  <c r="U96" i="1"/>
  <c r="U95" i="1"/>
  <c r="U94" i="1"/>
  <c r="U87" i="1"/>
  <c r="U88" i="1"/>
  <c r="U89" i="1"/>
  <c r="U90" i="1"/>
  <c r="U86" i="1"/>
  <c r="U79" i="1"/>
  <c r="U80" i="1"/>
  <c r="U81" i="1"/>
  <c r="U82" i="1"/>
  <c r="U83" i="1"/>
  <c r="U74" i="1"/>
  <c r="U76" i="1"/>
  <c r="U75" i="1"/>
  <c r="B82" i="1"/>
  <c r="C82" i="1"/>
  <c r="D82" i="1"/>
  <c r="E82" i="1"/>
  <c r="F82" i="1"/>
  <c r="B83" i="1"/>
  <c r="C83" i="1"/>
  <c r="D83" i="1"/>
  <c r="E83" i="1"/>
  <c r="F83" i="1"/>
  <c r="B84" i="1"/>
  <c r="C84" i="1"/>
  <c r="D84" i="1"/>
  <c r="E84" i="1"/>
  <c r="F84" i="1"/>
  <c r="B85" i="1"/>
  <c r="C85" i="1"/>
  <c r="D85" i="1"/>
  <c r="E85" i="1"/>
  <c r="F85" i="1"/>
  <c r="B86" i="1"/>
  <c r="C86" i="1"/>
  <c r="D86" i="1"/>
  <c r="E86" i="1"/>
  <c r="F86" i="1"/>
  <c r="C81" i="1"/>
  <c r="D81" i="1"/>
  <c r="E81" i="1"/>
  <c r="F81" i="1"/>
  <c r="B81" i="1"/>
  <c r="C78" i="1"/>
  <c r="C77" i="1"/>
  <c r="C76" i="1"/>
  <c r="C75" i="1"/>
  <c r="B66" i="1"/>
  <c r="C66" i="1"/>
  <c r="D66" i="1"/>
  <c r="E66" i="1"/>
  <c r="F66" i="1"/>
  <c r="G66" i="1"/>
  <c r="B67" i="1"/>
  <c r="C67" i="1"/>
  <c r="D67" i="1"/>
  <c r="E67" i="1"/>
  <c r="F67" i="1"/>
  <c r="H67" i="1"/>
  <c r="B68" i="1"/>
  <c r="C68" i="1"/>
  <c r="D68" i="1"/>
  <c r="E68" i="1"/>
  <c r="F68" i="1"/>
  <c r="G68" i="1"/>
  <c r="B69" i="1"/>
  <c r="C69" i="1"/>
  <c r="D69" i="1"/>
  <c r="E69" i="1"/>
  <c r="F69" i="1"/>
  <c r="H69" i="1"/>
  <c r="B70" i="1"/>
  <c r="C70" i="1"/>
  <c r="D70" i="1"/>
  <c r="E70" i="1"/>
  <c r="F70" i="1"/>
  <c r="G70" i="1"/>
  <c r="H70" i="1"/>
  <c r="B65" i="1"/>
  <c r="C65" i="1"/>
  <c r="D65" i="1"/>
  <c r="E65" i="1"/>
  <c r="F65" i="1"/>
  <c r="G65" i="1"/>
  <c r="H65" i="1"/>
  <c r="G67" i="1"/>
  <c r="C54" i="1"/>
  <c r="C53" i="1"/>
  <c r="C52" i="1"/>
  <c r="C51" i="1"/>
  <c r="C47" i="1"/>
  <c r="C46" i="1"/>
  <c r="C45" i="1"/>
  <c r="C44" i="1"/>
  <c r="C40" i="1"/>
  <c r="C39" i="1"/>
  <c r="C38" i="1"/>
  <c r="C37" i="1"/>
  <c r="I31" i="1"/>
  <c r="J31" i="1"/>
  <c r="K31" i="1"/>
  <c r="L31" i="1"/>
  <c r="M31" i="1"/>
  <c r="O31" i="1"/>
  <c r="N31" i="1"/>
  <c r="I23" i="1"/>
  <c r="J23" i="1"/>
  <c r="K23" i="1"/>
  <c r="L23" i="1"/>
  <c r="M23" i="1"/>
  <c r="I15" i="1"/>
  <c r="J15" i="1"/>
  <c r="K15" i="1"/>
  <c r="L15" i="1"/>
  <c r="M15" i="1"/>
  <c r="O15" i="1"/>
  <c r="N15" i="1"/>
  <c r="J26" i="1"/>
  <c r="I26" i="1"/>
  <c r="K26" i="1"/>
  <c r="L26" i="1"/>
  <c r="M26" i="1"/>
  <c r="N26" i="1"/>
  <c r="J27" i="1"/>
  <c r="K27" i="1"/>
  <c r="L27" i="1"/>
  <c r="M27" i="1"/>
  <c r="J28" i="1"/>
  <c r="I28" i="1"/>
  <c r="K28" i="1"/>
  <c r="L28" i="1"/>
  <c r="M28" i="1"/>
  <c r="N28" i="1"/>
  <c r="J29" i="1"/>
  <c r="K29" i="1"/>
  <c r="L29" i="1"/>
  <c r="M29" i="1"/>
  <c r="J30" i="1"/>
  <c r="K30" i="1"/>
  <c r="L30" i="1"/>
  <c r="M30" i="1"/>
  <c r="I27" i="1"/>
  <c r="O27" i="1"/>
  <c r="I29" i="1"/>
  <c r="I30" i="1"/>
  <c r="N30" i="1"/>
  <c r="O26" i="1"/>
  <c r="J18" i="1"/>
  <c r="K18" i="1"/>
  <c r="L18" i="1"/>
  <c r="M18" i="1"/>
  <c r="J19" i="1"/>
  <c r="K19" i="1"/>
  <c r="L19" i="1"/>
  <c r="M19" i="1"/>
  <c r="J20" i="1"/>
  <c r="K20" i="1"/>
  <c r="L20" i="1"/>
  <c r="M20" i="1"/>
  <c r="J21" i="1"/>
  <c r="I21" i="1"/>
  <c r="K21" i="1"/>
  <c r="L21" i="1"/>
  <c r="M21" i="1"/>
  <c r="J22" i="1"/>
  <c r="K22" i="1"/>
  <c r="L22" i="1"/>
  <c r="M22" i="1"/>
  <c r="I19" i="1"/>
  <c r="I20" i="1"/>
  <c r="O20" i="1"/>
  <c r="I22" i="1"/>
  <c r="I18" i="1"/>
  <c r="O18" i="1"/>
  <c r="J11" i="1"/>
  <c r="K11" i="1"/>
  <c r="I11" i="1"/>
  <c r="L11" i="1"/>
  <c r="M11" i="1"/>
  <c r="N11" i="1"/>
  <c r="J12" i="1"/>
  <c r="K12" i="1"/>
  <c r="L12" i="1"/>
  <c r="M12" i="1"/>
  <c r="J13" i="1"/>
  <c r="K13" i="1"/>
  <c r="I13" i="1"/>
  <c r="L13" i="1"/>
  <c r="M13" i="1"/>
  <c r="O13" i="1"/>
  <c r="J14" i="1"/>
  <c r="K14" i="1"/>
  <c r="L14" i="1"/>
  <c r="M14" i="1"/>
  <c r="I12" i="1"/>
  <c r="N13" i="1"/>
  <c r="I14" i="1"/>
  <c r="N14" i="1"/>
  <c r="J10" i="1"/>
  <c r="K10" i="1"/>
  <c r="L10" i="1"/>
  <c r="M10" i="1"/>
  <c r="I10" i="1"/>
  <c r="O10" i="1"/>
  <c r="N29" i="1"/>
  <c r="N12" i="1"/>
  <c r="N18" i="1"/>
  <c r="O29" i="1"/>
  <c r="N27" i="1"/>
  <c r="O12" i="1"/>
  <c r="O23" i="1"/>
  <c r="N23" i="1"/>
  <c r="N22" i="1"/>
  <c r="O22" i="1"/>
  <c r="N21" i="1"/>
  <c r="N20" i="1"/>
  <c r="O19" i="1"/>
  <c r="H66" i="1"/>
  <c r="N19" i="1"/>
  <c r="O14" i="1"/>
  <c r="O11" i="1"/>
  <c r="O28" i="1"/>
  <c r="N10" i="1"/>
  <c r="H68" i="1"/>
  <c r="O30" i="1"/>
  <c r="O21" i="1"/>
  <c r="G69" i="1"/>
</calcChain>
</file>

<file path=xl/sharedStrings.xml><?xml version="1.0" encoding="utf-8"?>
<sst xmlns="http://schemas.openxmlformats.org/spreadsheetml/2006/main" count="200" uniqueCount="42">
  <si>
    <t>Sequential</t>
  </si>
  <si>
    <t>max heap space (MB)</t>
  </si>
  <si>
    <t>IDA* Sequential</t>
  </si>
  <si>
    <t>max heap used</t>
  </si>
  <si>
    <t>10 cities</t>
  </si>
  <si>
    <t>15 cities</t>
  </si>
  <si>
    <t>20 cities</t>
  </si>
  <si>
    <t>25 cities</t>
  </si>
  <si>
    <t>30 cities</t>
  </si>
  <si>
    <t>35 cities</t>
  </si>
  <si>
    <t>diff 35 cities</t>
  </si>
  <si>
    <t>Centralised Parallel</t>
  </si>
  <si>
    <t>Centralised Parallel Speedup</t>
  </si>
  <si>
    <t>Average</t>
  </si>
  <si>
    <t>STDDEV</t>
  </si>
  <si>
    <t>Blackboard Parallel</t>
  </si>
  <si>
    <t>Blackboard Parallel Speedup</t>
  </si>
  <si>
    <t>HDA* Parallel</t>
  </si>
  <si>
    <t>HDA* Parallel Speedup</t>
  </si>
  <si>
    <t>27 node problem</t>
  </si>
  <si>
    <t>Sequential time</t>
  </si>
  <si>
    <t>Processors</t>
  </si>
  <si>
    <t>Time</t>
  </si>
  <si>
    <t>Speedup</t>
  </si>
  <si>
    <t>IDA* Parallel with depth of 1</t>
  </si>
  <si>
    <t>78MB</t>
  </si>
  <si>
    <t>83BM</t>
  </si>
  <si>
    <t>132MB</t>
  </si>
  <si>
    <t>124MB</t>
  </si>
  <si>
    <t>150MB</t>
  </si>
  <si>
    <t>Speed up IDA*</t>
  </si>
  <si>
    <t>Std dev</t>
  </si>
  <si>
    <t>Blackboard Thresholds</t>
  </si>
  <si>
    <t>27 city</t>
  </si>
  <si>
    <t>Threshold</t>
  </si>
  <si>
    <t>Blackboard time</t>
  </si>
  <si>
    <t>IDA* Parallell</t>
  </si>
  <si>
    <t>States to copy (27 city)</t>
  </si>
  <si>
    <t>Speed up iDA* parallel vs sequential A*</t>
  </si>
  <si>
    <t>States to copy (40 city)</t>
  </si>
  <si>
    <t>40 city</t>
  </si>
  <si>
    <t>Efficiency (S/p)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</si>
</sst>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NZ"/>
              <a:t>Centralised</a:t>
            </a:r>
            <a:r>
              <a:rPr lang="en-NZ" baseline="0"/>
              <a:t> Parallel Speedup</a:t>
            </a:r>
            <a:endParaRPr lang="en-NZ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Sheet1!$O$10:$O$15</c:f>
                <c:numCache>
                  <c:formatCode>General</c:formatCode>
                  <c:ptCount val="6"/>
                  <c:pt idx="0">
                    <c:v>4.1397288725867065E-3</c:v>
                  </c:pt>
                  <c:pt idx="1">
                    <c:v>9.4365038822335323E-2</c:v>
                  </c:pt>
                  <c:pt idx="2">
                    <c:v>0.19278047582957417</c:v>
                  </c:pt>
                  <c:pt idx="3">
                    <c:v>0.22710388496285466</c:v>
                  </c:pt>
                  <c:pt idx="4">
                    <c:v>0.19523702786092437</c:v>
                  </c:pt>
                  <c:pt idx="5">
                    <c:v>0.20056117604775209</c:v>
                  </c:pt>
                </c:numCache>
              </c:numRef>
            </c:plus>
            <c:minus>
              <c:numRef>
                <c:f>Sheet1!$O$10:$O$15</c:f>
                <c:numCache>
                  <c:formatCode>General</c:formatCode>
                  <c:ptCount val="6"/>
                  <c:pt idx="0">
                    <c:v>4.1397288725867065E-3</c:v>
                  </c:pt>
                  <c:pt idx="1">
                    <c:v>9.4365038822335323E-2</c:v>
                  </c:pt>
                  <c:pt idx="2">
                    <c:v>0.19278047582957417</c:v>
                  </c:pt>
                  <c:pt idx="3">
                    <c:v>0.22710388496285466</c:v>
                  </c:pt>
                  <c:pt idx="4">
                    <c:v>0.19523702786092437</c:v>
                  </c:pt>
                  <c:pt idx="5">
                    <c:v>0.20056117604775209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Sheet1!$H$10:$H$15</c:f>
              <c:strCache>
                <c:ptCount val="6"/>
                <c:pt idx="0">
                  <c:v>10 cities</c:v>
                </c:pt>
                <c:pt idx="1">
                  <c:v>15 cities</c:v>
                </c:pt>
                <c:pt idx="2">
                  <c:v>20 cities</c:v>
                </c:pt>
                <c:pt idx="3">
                  <c:v>25 cities</c:v>
                </c:pt>
                <c:pt idx="4">
                  <c:v>30 cities</c:v>
                </c:pt>
                <c:pt idx="5">
                  <c:v>35 cities</c:v>
                </c:pt>
              </c:strCache>
            </c:strRef>
          </c:cat>
          <c:val>
            <c:numRef>
              <c:f>Sheet1!$N$10:$N$15</c:f>
              <c:numCache>
                <c:formatCode>General</c:formatCode>
                <c:ptCount val="6"/>
                <c:pt idx="0">
                  <c:v>9.9600815225213274E-2</c:v>
                </c:pt>
                <c:pt idx="1">
                  <c:v>0.87146468009608191</c:v>
                </c:pt>
                <c:pt idx="2">
                  <c:v>2.6430699199560919</c:v>
                </c:pt>
                <c:pt idx="3">
                  <c:v>3.0485715907551327</c:v>
                </c:pt>
                <c:pt idx="4">
                  <c:v>4.1883773516113818</c:v>
                </c:pt>
                <c:pt idx="5">
                  <c:v>2.8374101111800401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578-45D4-A2B3-3F2F59C994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04147008"/>
        <c:axId val="304150928"/>
      </c:barChart>
      <c:catAx>
        <c:axId val="304147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4150928"/>
        <c:crosses val="autoZero"/>
        <c:auto val="1"/>
        <c:lblAlgn val="ctr"/>
        <c:lblOffset val="100"/>
        <c:noMultiLvlLbl val="0"/>
      </c:catAx>
      <c:valAx>
        <c:axId val="304150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41470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NZ"/>
              <a:t>Blackboard Parallel Speedup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Sheet1!$O$18:$O$23</c:f>
                <c:numCache>
                  <c:formatCode>General</c:formatCode>
                  <c:ptCount val="6"/>
                  <c:pt idx="0">
                    <c:v>3.2900728922120787E-3</c:v>
                  </c:pt>
                  <c:pt idx="1">
                    <c:v>4.9044778523543379E-2</c:v>
                  </c:pt>
                  <c:pt idx="2">
                    <c:v>7.0353689846512232E-2</c:v>
                  </c:pt>
                  <c:pt idx="3">
                    <c:v>0.1140543056444264</c:v>
                  </c:pt>
                  <c:pt idx="4">
                    <c:v>0.15285300367740667</c:v>
                  </c:pt>
                  <c:pt idx="5">
                    <c:v>0.14833571092732079</c:v>
                  </c:pt>
                </c:numCache>
              </c:numRef>
            </c:plus>
            <c:minus>
              <c:numRef>
                <c:f>Sheet1!$O$18:$O$23</c:f>
                <c:numCache>
                  <c:formatCode>General</c:formatCode>
                  <c:ptCount val="6"/>
                  <c:pt idx="0">
                    <c:v>3.2900728922120787E-3</c:v>
                  </c:pt>
                  <c:pt idx="1">
                    <c:v>4.9044778523543379E-2</c:v>
                  </c:pt>
                  <c:pt idx="2">
                    <c:v>7.0353689846512232E-2</c:v>
                  </c:pt>
                  <c:pt idx="3">
                    <c:v>0.1140543056444264</c:v>
                  </c:pt>
                  <c:pt idx="4">
                    <c:v>0.15285300367740667</c:v>
                  </c:pt>
                  <c:pt idx="5">
                    <c:v>0.14833571092732079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Sheet1!$H$18:$H$23</c:f>
              <c:strCache>
                <c:ptCount val="6"/>
                <c:pt idx="0">
                  <c:v>10 cities</c:v>
                </c:pt>
                <c:pt idx="1">
                  <c:v>15 cities</c:v>
                </c:pt>
                <c:pt idx="2">
                  <c:v>20 cities</c:v>
                </c:pt>
                <c:pt idx="3">
                  <c:v>25 cities</c:v>
                </c:pt>
                <c:pt idx="4">
                  <c:v>30 cities</c:v>
                </c:pt>
                <c:pt idx="5">
                  <c:v>35 cities</c:v>
                </c:pt>
              </c:strCache>
            </c:strRef>
          </c:cat>
          <c:val>
            <c:numRef>
              <c:f>Sheet1!$N$18:$N$23</c:f>
              <c:numCache>
                <c:formatCode>General</c:formatCode>
                <c:ptCount val="6"/>
                <c:pt idx="0">
                  <c:v>0.10004088773707606</c:v>
                </c:pt>
                <c:pt idx="1">
                  <c:v>0.90646774263872898</c:v>
                </c:pt>
                <c:pt idx="2">
                  <c:v>1.7114650733185985</c:v>
                </c:pt>
                <c:pt idx="3">
                  <c:v>2.0916396934544528</c:v>
                </c:pt>
                <c:pt idx="4">
                  <c:v>3.5154395388922373</c:v>
                </c:pt>
                <c:pt idx="5">
                  <c:v>2.6952403670341138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010-42DC-AB93-BE8F1760CE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04149752"/>
        <c:axId val="299795768"/>
      </c:barChart>
      <c:catAx>
        <c:axId val="304149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795768"/>
        <c:crosses val="autoZero"/>
        <c:auto val="1"/>
        <c:lblAlgn val="ctr"/>
        <c:lblOffset val="100"/>
        <c:noMultiLvlLbl val="0"/>
      </c:catAx>
      <c:valAx>
        <c:axId val="299795768"/>
        <c:scaling>
          <c:orientation val="minMax"/>
          <c:max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4149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NZ"/>
              <a:t>HDA* Parallel Speedup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Sheet1!$O$26:$O$31</c:f>
                <c:numCache>
                  <c:formatCode>General</c:formatCode>
                  <c:ptCount val="6"/>
                  <c:pt idx="0">
                    <c:v>4.5370294497275683E-3</c:v>
                  </c:pt>
                  <c:pt idx="1">
                    <c:v>6.4973306951385576E-2</c:v>
                  </c:pt>
                  <c:pt idx="2">
                    <c:v>0.24279155801774865</c:v>
                  </c:pt>
                  <c:pt idx="3">
                    <c:v>0.4641783477091414</c:v>
                  </c:pt>
                  <c:pt idx="4">
                    <c:v>0.16187452625310414</c:v>
                  </c:pt>
                  <c:pt idx="5">
                    <c:v>0.42997576048103237</c:v>
                  </c:pt>
                </c:numCache>
              </c:numRef>
            </c:plus>
            <c:minus>
              <c:numRef>
                <c:f>Sheet1!$O$26:$O$31</c:f>
                <c:numCache>
                  <c:formatCode>General</c:formatCode>
                  <c:ptCount val="6"/>
                  <c:pt idx="0">
                    <c:v>4.5370294497275683E-3</c:v>
                  </c:pt>
                  <c:pt idx="1">
                    <c:v>6.4973306951385576E-2</c:v>
                  </c:pt>
                  <c:pt idx="2">
                    <c:v>0.24279155801774865</c:v>
                  </c:pt>
                  <c:pt idx="3">
                    <c:v>0.4641783477091414</c:v>
                  </c:pt>
                  <c:pt idx="4">
                    <c:v>0.16187452625310414</c:v>
                  </c:pt>
                  <c:pt idx="5">
                    <c:v>0.42997576048103237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Sheet1!$H$26:$H$31</c:f>
              <c:strCache>
                <c:ptCount val="6"/>
                <c:pt idx="0">
                  <c:v>10 cities</c:v>
                </c:pt>
                <c:pt idx="1">
                  <c:v>15 cities</c:v>
                </c:pt>
                <c:pt idx="2">
                  <c:v>20 cities</c:v>
                </c:pt>
                <c:pt idx="3">
                  <c:v>25 cities</c:v>
                </c:pt>
                <c:pt idx="4">
                  <c:v>30 cities</c:v>
                </c:pt>
                <c:pt idx="5">
                  <c:v>35 cities</c:v>
                </c:pt>
              </c:strCache>
            </c:strRef>
          </c:cat>
          <c:val>
            <c:numRef>
              <c:f>Sheet1!$N$26:$N$31</c:f>
              <c:numCache>
                <c:formatCode>General</c:formatCode>
                <c:ptCount val="6"/>
                <c:pt idx="0">
                  <c:v>0.10099493194530595</c:v>
                </c:pt>
                <c:pt idx="1">
                  <c:v>0.86553897641419564</c:v>
                </c:pt>
                <c:pt idx="2">
                  <c:v>2.5526917142945025</c:v>
                </c:pt>
                <c:pt idx="3">
                  <c:v>2.8291975113849821</c:v>
                </c:pt>
                <c:pt idx="4">
                  <c:v>4.0201144655107424</c:v>
                </c:pt>
                <c:pt idx="5">
                  <c:v>3.0518471063403192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D71-49B6-B0AB-C95307798A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99799296"/>
        <c:axId val="299800472"/>
      </c:barChart>
      <c:catAx>
        <c:axId val="299799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800472"/>
        <c:crosses val="autoZero"/>
        <c:auto val="1"/>
        <c:lblAlgn val="ctr"/>
        <c:lblOffset val="100"/>
        <c:noMultiLvlLbl val="0"/>
      </c:catAx>
      <c:valAx>
        <c:axId val="299800472"/>
        <c:scaling>
          <c:orientation val="minMax"/>
          <c:max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7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NZ" sz="1800"/>
              <a:t>Speedup vs Processor</a:t>
            </a:r>
            <a:r>
              <a:rPr lang="en-NZ" sz="1800" baseline="0"/>
              <a:t>s - Centralised</a:t>
            </a:r>
            <a:endParaRPr lang="en-NZ" sz="1800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Sheet1!$A$37:$A$40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xVal>
          <c:yVal>
            <c:numRef>
              <c:f>Sheet1!$C$37:$C$40</c:f>
              <c:numCache>
                <c:formatCode>General</c:formatCode>
                <c:ptCount val="4"/>
                <c:pt idx="0">
                  <c:v>1.7114256448458889</c:v>
                </c:pt>
                <c:pt idx="1">
                  <c:v>2.9279910785407042</c:v>
                </c:pt>
                <c:pt idx="2">
                  <c:v>2.6494161741386768</c:v>
                </c:pt>
                <c:pt idx="3">
                  <c:v>2.6205175732515862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067A-4755-B74D-4296A521AD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9794200"/>
        <c:axId val="299796944"/>
      </c:scatterChart>
      <c:valAx>
        <c:axId val="2997942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796944"/>
        <c:crosses val="autoZero"/>
        <c:crossBetween val="midCat"/>
      </c:valAx>
      <c:valAx>
        <c:axId val="299796944"/>
        <c:scaling>
          <c:orientation val="minMax"/>
          <c:max val="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7942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NZ" sz="1800" b="0" i="0" baseline="0">
                <a:effectLst/>
              </a:rPr>
              <a:t>Speedup vs Processors - Blackboard</a:t>
            </a:r>
            <a:endParaRPr lang="en-NZ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Sheet1!$A$44:$A$47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xVal>
          <c:yVal>
            <c:numRef>
              <c:f>Sheet1!$C$44:$C$47</c:f>
              <c:numCache>
                <c:formatCode>General</c:formatCode>
                <c:ptCount val="4"/>
                <c:pt idx="0">
                  <c:v>1.6501907968574636</c:v>
                </c:pt>
                <c:pt idx="1">
                  <c:v>2.306022584692597</c:v>
                </c:pt>
                <c:pt idx="2">
                  <c:v>2.4925747609683326</c:v>
                </c:pt>
                <c:pt idx="3">
                  <c:v>2.7449779702785455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7325-4BEE-8637-23EC8B33F9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4315416"/>
        <c:axId val="160220480"/>
      </c:scatterChart>
      <c:valAx>
        <c:axId val="304315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20480"/>
        <c:crosses val="autoZero"/>
        <c:crossBetween val="midCat"/>
      </c:valAx>
      <c:valAx>
        <c:axId val="160220480"/>
        <c:scaling>
          <c:orientation val="minMax"/>
          <c:max val="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43154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NZ"/>
              <a:t>Speedup vs Processors - HDA*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Sheet1!$A$51:$A$54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xVal>
          <c:yVal>
            <c:numRef>
              <c:f>Sheet1!$C$51:$C$54</c:f>
              <c:numCache>
                <c:formatCode>General</c:formatCode>
                <c:ptCount val="4"/>
                <c:pt idx="0">
                  <c:v>1.7029418577716007</c:v>
                </c:pt>
                <c:pt idx="1">
                  <c:v>2.6106534090909093</c:v>
                </c:pt>
                <c:pt idx="2">
                  <c:v>3.5735951779117245</c:v>
                </c:pt>
                <c:pt idx="3">
                  <c:v>3.5868462138953943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9AF8-4692-B8AA-5FA61DB2DA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214992"/>
        <c:axId val="307480560"/>
      </c:scatterChart>
      <c:valAx>
        <c:axId val="1602149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7480560"/>
        <c:crosses val="autoZero"/>
        <c:crossBetween val="midCat"/>
      </c:valAx>
      <c:valAx>
        <c:axId val="307480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149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NZ"/>
              <a:t>IDA* Parallel Speed up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Sheet1!$A$65:$A$70</c:f>
              <c:strCache>
                <c:ptCount val="6"/>
                <c:pt idx="0">
                  <c:v>10 cities</c:v>
                </c:pt>
                <c:pt idx="1">
                  <c:v>15 cities</c:v>
                </c:pt>
                <c:pt idx="2">
                  <c:v>20 cities</c:v>
                </c:pt>
                <c:pt idx="3">
                  <c:v>25 cities</c:v>
                </c:pt>
                <c:pt idx="4">
                  <c:v>30 cities</c:v>
                </c:pt>
                <c:pt idx="5">
                  <c:v>35 cities</c:v>
                </c:pt>
              </c:strCache>
            </c:strRef>
          </c:cat>
          <c:val>
            <c:numRef>
              <c:f>(Sheet1!$G$65:$G$70,Sheet1!$G$75)</c:f>
              <c:numCache>
                <c:formatCode>General</c:formatCode>
                <c:ptCount val="7"/>
                <c:pt idx="0">
                  <c:v>0.28854899190300604</c:v>
                </c:pt>
                <c:pt idx="1">
                  <c:v>1.6253475407879137</c:v>
                </c:pt>
                <c:pt idx="2">
                  <c:v>3.158653023781004</c:v>
                </c:pt>
                <c:pt idx="3">
                  <c:v>3.6651605736834569</c:v>
                </c:pt>
                <c:pt idx="4">
                  <c:v>4.2022319047408603</c:v>
                </c:pt>
                <c:pt idx="5">
                  <c:v>2.7345960602075734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B9A-4859-B2C2-E198DB7904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07479384"/>
        <c:axId val="307486440"/>
      </c:barChart>
      <c:catAx>
        <c:axId val="307479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7486440"/>
        <c:crosses val="autoZero"/>
        <c:auto val="1"/>
        <c:lblAlgn val="ctr"/>
        <c:lblOffset val="100"/>
        <c:noMultiLvlLbl val="0"/>
      </c:catAx>
      <c:valAx>
        <c:axId val="307486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74793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NZ"/>
              <a:t>Speedup vs Processor - Parallel IDA*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Sheet1!$A$75:$A$78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xVal>
          <c:yVal>
            <c:numRef>
              <c:f>Sheet1!$C$75:$C$78</c:f>
              <c:numCache>
                <c:formatCode>General</c:formatCode>
                <c:ptCount val="4"/>
                <c:pt idx="0">
                  <c:v>0.85174342621151133</c:v>
                </c:pt>
                <c:pt idx="1">
                  <c:v>1.8515824762770612</c:v>
                </c:pt>
                <c:pt idx="2">
                  <c:v>3.068650532065166</c:v>
                </c:pt>
                <c:pt idx="3">
                  <c:v>3.3802904564315353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B87-4048-ABEB-E69FEF4DE9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7482128"/>
        <c:axId val="307485264"/>
      </c:scatterChart>
      <c:valAx>
        <c:axId val="3074821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7485264"/>
        <c:crosses val="autoZero"/>
        <c:crossBetween val="midCat"/>
      </c:valAx>
      <c:valAx>
        <c:axId val="307485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74821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Thresholds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Sheet1!$U$72:$U$76</c:f>
              <c:strCache>
                <c:ptCount val="5"/>
                <c:pt idx="0">
                  <c:v>2.701800809</c:v>
                </c:pt>
                <c:pt idx="1">
                  <c:v>2.903934271</c:v>
                </c:pt>
                <c:pt idx="2">
                  <c:v>2.501565265</c:v>
                </c:pt>
                <c:pt idx="3">
                  <c:v>1.794473736</c:v>
                </c:pt>
                <c:pt idx="4">
                  <c:v>1.811988564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Sheet1!$R$72:$R$76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5</c:v>
                </c:pt>
                <c:pt idx="3">
                  <c:v>10</c:v>
                </c:pt>
                <c:pt idx="4">
                  <c:v>12</c:v>
                </c:pt>
              </c:numCache>
            </c:numRef>
          </c:xVal>
          <c:yVal>
            <c:numRef>
              <c:f>Sheet1!$U$72:$U$76</c:f>
              <c:numCache>
                <c:formatCode>General</c:formatCode>
                <c:ptCount val="5"/>
                <c:pt idx="0">
                  <c:v>2.701800808526277</c:v>
                </c:pt>
                <c:pt idx="1">
                  <c:v>2.9039342708168747</c:v>
                </c:pt>
                <c:pt idx="2">
                  <c:v>2.5015652647339048</c:v>
                </c:pt>
                <c:pt idx="3">
                  <c:v>1.7944737355985159</c:v>
                </c:pt>
                <c:pt idx="4">
                  <c:v>1.8119885635413586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C16C-49D4-8FE0-2D20B7098A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7484872"/>
        <c:axId val="307488792"/>
      </c:scatterChart>
      <c:valAx>
        <c:axId val="3074848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Threshold</a:t>
                </a:r>
                <a:r>
                  <a:rPr lang="en-NZ" baseline="0"/>
                  <a:t> values</a:t>
                </a:r>
                <a:endParaRPr lang="en-NZ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7488792"/>
        <c:crosses val="autoZero"/>
        <c:crossBetween val="midCat"/>
      </c:valAx>
      <c:valAx>
        <c:axId val="307488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Speedup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74848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NZ"/>
              <a:t>Number of states to copy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Sheet1!$U$79:$U$83</c:f>
              <c:numCache>
                <c:formatCode>General</c:formatCode>
                <c:ptCount val="5"/>
                <c:pt idx="0">
                  <c:v>2.9196187450357427</c:v>
                </c:pt>
                <c:pt idx="1">
                  <c:v>2.9039342708168747</c:v>
                </c:pt>
                <c:pt idx="2">
                  <c:v>2.9399344157402223</c:v>
                </c:pt>
                <c:pt idx="3">
                  <c:v>2.8701491371905989</c:v>
                </c:pt>
                <c:pt idx="4">
                  <c:v>3.0532436248857877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674F-4B05-9DC1-FA75E2CE18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7484088"/>
        <c:axId val="307485656"/>
      </c:scatterChart>
      <c:valAx>
        <c:axId val="3074840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Number of state to copy</a:t>
                </a:r>
                <a:r>
                  <a:rPr lang="en-NZ" baseline="0"/>
                  <a:t> at once</a:t>
                </a:r>
                <a:endParaRPr lang="en-NZ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7485656"/>
        <c:crossesAt val="2.8499999999999996"/>
        <c:crossBetween val="midCat"/>
      </c:valAx>
      <c:valAx>
        <c:axId val="30748565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Speedup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74840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Number of states to copy (40 city)</a:t>
            </a:r>
            <a:endParaRPr lang="en-NZ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Sheet1!$R$86:$R$90</c:f>
              <c:numCache>
                <c:formatCode>General</c:formatCode>
                <c:ptCount val="5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</c:numCache>
            </c:numRef>
          </c:xVal>
          <c:yVal>
            <c:numRef>
              <c:f>Sheet1!$U$86:$U$90</c:f>
              <c:numCache>
                <c:formatCode>General</c:formatCode>
                <c:ptCount val="5"/>
                <c:pt idx="0">
                  <c:v>3.5103169762110089</c:v>
                </c:pt>
                <c:pt idx="1">
                  <c:v>3.5393506245625943</c:v>
                </c:pt>
                <c:pt idx="2">
                  <c:v>3.7728269469876796</c:v>
                </c:pt>
                <c:pt idx="3">
                  <c:v>4.1584481598684375</c:v>
                </c:pt>
                <c:pt idx="4">
                  <c:v>3.6370788475787821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6D0-4210-8DA3-D05F43434E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7486832"/>
        <c:axId val="307479776"/>
      </c:scatterChart>
      <c:valAx>
        <c:axId val="3074868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Number of states to copy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7479776"/>
        <c:crosses val="autoZero"/>
        <c:crossBetween val="midCat"/>
      </c:valAx>
      <c:valAx>
        <c:axId val="307479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Speedup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74868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NZ"/>
              <a:t>Threshold</a:t>
            </a:r>
            <a:r>
              <a:rPr lang="en-NZ" baseline="0"/>
              <a:t> Values (40 cities)</a:t>
            </a:r>
            <a:endParaRPr lang="en-NZ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Sheet1!$R$94:$R$98</c:f>
              <c:numCache>
                <c:formatCode>General</c:formatCode>
                <c:ptCount val="5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</c:numCache>
            </c:numRef>
          </c:xVal>
          <c:yVal>
            <c:numRef>
              <c:f>Sheet1!$U$94:$U$98</c:f>
              <c:numCache>
                <c:formatCode>General</c:formatCode>
                <c:ptCount val="5"/>
                <c:pt idx="0">
                  <c:v>4.4421346819270697</c:v>
                </c:pt>
                <c:pt idx="1">
                  <c:v>4.03977052672347</c:v>
                </c:pt>
                <c:pt idx="2">
                  <c:v>3.1100406246505909</c:v>
                </c:pt>
                <c:pt idx="3">
                  <c:v>2.6769805752049147</c:v>
                </c:pt>
                <c:pt idx="4">
                  <c:v>2.4935528694586799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E8A0-40AA-9311-A29CCFEA5D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7481344"/>
        <c:axId val="307487616"/>
      </c:scatterChart>
      <c:valAx>
        <c:axId val="3074813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Thresholds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7487616"/>
        <c:crosses val="autoZero"/>
        <c:crossBetween val="midCat"/>
      </c:valAx>
      <c:valAx>
        <c:axId val="307487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Speedup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74813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NZ"/>
              <a:t>Memory Usage Graph for A*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Sheet1!$A$2:$A$7</c:f>
              <c:strCache>
                <c:ptCount val="6"/>
                <c:pt idx="0">
                  <c:v>10 cities</c:v>
                </c:pt>
                <c:pt idx="1">
                  <c:v>15 cities</c:v>
                </c:pt>
                <c:pt idx="2">
                  <c:v>20 cities</c:v>
                </c:pt>
                <c:pt idx="3">
                  <c:v>25 cities</c:v>
                </c:pt>
                <c:pt idx="4">
                  <c:v>30 cities</c:v>
                </c:pt>
                <c:pt idx="5">
                  <c:v>35 cities</c:v>
                </c:pt>
              </c:strCache>
            </c:strRef>
          </c:cat>
          <c:val>
            <c:numRef>
              <c:f>Sheet1!$G$2:$G$7</c:f>
              <c:numCache>
                <c:formatCode>General</c:formatCode>
                <c:ptCount val="6"/>
                <c:pt idx="0">
                  <c:v>75</c:v>
                </c:pt>
                <c:pt idx="1">
                  <c:v>108</c:v>
                </c:pt>
                <c:pt idx="2">
                  <c:v>153</c:v>
                </c:pt>
                <c:pt idx="3">
                  <c:v>110</c:v>
                </c:pt>
                <c:pt idx="4">
                  <c:v>425</c:v>
                </c:pt>
                <c:pt idx="5">
                  <c:v>923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48C-4C6B-AD9F-ED74DB0556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07488008"/>
        <c:axId val="307489184"/>
      </c:barChart>
      <c:catAx>
        <c:axId val="307488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7489184"/>
        <c:crosses val="autoZero"/>
        <c:auto val="1"/>
        <c:lblAlgn val="ctr"/>
        <c:lblOffset val="100"/>
        <c:noMultiLvlLbl val="0"/>
      </c:catAx>
      <c:valAx>
        <c:axId val="307489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Memory (MB)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74880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NZ"/>
              <a:t>Memory Usage Graph</a:t>
            </a:r>
            <a:r>
              <a:rPr lang="en-NZ" baseline="0"/>
              <a:t> for IDA*</a:t>
            </a:r>
            <a:endParaRPr lang="en-NZ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Sheet1!$I$2:$I$7</c:f>
              <c:strCache>
                <c:ptCount val="6"/>
                <c:pt idx="0">
                  <c:v>10 cities</c:v>
                </c:pt>
                <c:pt idx="1">
                  <c:v>15 cities</c:v>
                </c:pt>
                <c:pt idx="2">
                  <c:v>20 cities</c:v>
                </c:pt>
                <c:pt idx="3">
                  <c:v>25 cities</c:v>
                </c:pt>
                <c:pt idx="4">
                  <c:v>30 cities</c:v>
                </c:pt>
                <c:pt idx="5">
                  <c:v>35 cities</c:v>
                </c:pt>
              </c:strCache>
            </c:strRef>
          </c:cat>
          <c:val>
            <c:numRef>
              <c:f>Sheet1!$O$2:$O$7</c:f>
              <c:numCache>
                <c:formatCode>General</c:formatCode>
                <c:ptCount val="6"/>
                <c:pt idx="0">
                  <c:v>85</c:v>
                </c:pt>
                <c:pt idx="1">
                  <c:v>115</c:v>
                </c:pt>
                <c:pt idx="2">
                  <c:v>120</c:v>
                </c:pt>
                <c:pt idx="3">
                  <c:v>117</c:v>
                </c:pt>
                <c:pt idx="4">
                  <c:v>126</c:v>
                </c:pt>
                <c:pt idx="5">
                  <c:v>125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20D-480B-8F23-5B6C07E032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07482912"/>
        <c:axId val="307489968"/>
      </c:barChart>
      <c:catAx>
        <c:axId val="307482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7489968"/>
        <c:crosses val="autoZero"/>
        <c:auto val="1"/>
        <c:lblAlgn val="ctr"/>
        <c:lblOffset val="100"/>
        <c:noMultiLvlLbl val="0"/>
      </c:catAx>
      <c:valAx>
        <c:axId val="307489968"/>
        <c:scaling>
          <c:orientation val="minMax"/>
          <c:max val="1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Memory (MB)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7482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NZ"/>
              <a:t>Centralised</a:t>
            </a:r>
            <a:r>
              <a:rPr lang="en-NZ" baseline="0"/>
              <a:t> Parallel Speedup</a:t>
            </a:r>
            <a:endParaRPr lang="en-NZ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Sheet1!$O$10:$O$15</c:f>
                <c:numCache>
                  <c:formatCode>General</c:formatCode>
                  <c:ptCount val="6"/>
                  <c:pt idx="0">
                    <c:v>4.1397288725867065E-3</c:v>
                  </c:pt>
                  <c:pt idx="1">
                    <c:v>9.4365038822335323E-2</c:v>
                  </c:pt>
                  <c:pt idx="2">
                    <c:v>0.19278047582957417</c:v>
                  </c:pt>
                  <c:pt idx="3">
                    <c:v>0.22710388496285466</c:v>
                  </c:pt>
                  <c:pt idx="4">
                    <c:v>0.19523702786092437</c:v>
                  </c:pt>
                  <c:pt idx="5">
                    <c:v>0.20056117604775209</c:v>
                  </c:pt>
                </c:numCache>
              </c:numRef>
            </c:plus>
            <c:minus>
              <c:numRef>
                <c:f>Sheet1!$O$10:$O$15</c:f>
                <c:numCache>
                  <c:formatCode>General</c:formatCode>
                  <c:ptCount val="6"/>
                  <c:pt idx="0">
                    <c:v>4.1397288725867065E-3</c:v>
                  </c:pt>
                  <c:pt idx="1">
                    <c:v>9.4365038822335323E-2</c:v>
                  </c:pt>
                  <c:pt idx="2">
                    <c:v>0.19278047582957417</c:v>
                  </c:pt>
                  <c:pt idx="3">
                    <c:v>0.22710388496285466</c:v>
                  </c:pt>
                  <c:pt idx="4">
                    <c:v>0.19523702786092437</c:v>
                  </c:pt>
                  <c:pt idx="5">
                    <c:v>0.20056117604775209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Sheet2!$H$10:$H$15</c:f>
              <c:strCache>
                <c:ptCount val="6"/>
                <c:pt idx="0">
                  <c:v>10 cities</c:v>
                </c:pt>
                <c:pt idx="1">
                  <c:v>15 cities</c:v>
                </c:pt>
                <c:pt idx="2">
                  <c:v>20 cities</c:v>
                </c:pt>
                <c:pt idx="3">
                  <c:v>25 cities</c:v>
                </c:pt>
                <c:pt idx="4">
                  <c:v>30 cities</c:v>
                </c:pt>
                <c:pt idx="5">
                  <c:v>35 cities</c:v>
                </c:pt>
              </c:strCache>
            </c:strRef>
          </c:cat>
          <c:val>
            <c:numRef>
              <c:f>Sheet2!$N$10:$N$15</c:f>
              <c:numCache>
                <c:formatCode>General</c:formatCode>
                <c:ptCount val="6"/>
                <c:pt idx="0">
                  <c:v>0.10763580626384486</c:v>
                </c:pt>
                <c:pt idx="1">
                  <c:v>0.6653318290579805</c:v>
                </c:pt>
                <c:pt idx="2">
                  <c:v>2.8784898562868397</c:v>
                </c:pt>
                <c:pt idx="3">
                  <c:v>3.9474550317290196</c:v>
                </c:pt>
                <c:pt idx="4">
                  <c:v>4.7313398177782986</c:v>
                </c:pt>
                <c:pt idx="5">
                  <c:v>4.6111234497900861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578-45D4-A2B3-3F2F59C994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07482520"/>
        <c:axId val="307478992"/>
      </c:barChart>
      <c:catAx>
        <c:axId val="307482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7478992"/>
        <c:crosses val="autoZero"/>
        <c:auto val="1"/>
        <c:lblAlgn val="ctr"/>
        <c:lblOffset val="100"/>
        <c:noMultiLvlLbl val="0"/>
      </c:catAx>
      <c:valAx>
        <c:axId val="307478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74825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NZ"/>
              <a:t>Blackboard </a:t>
            </a:r>
            <a:r>
              <a:rPr lang="en-NZ" baseline="0"/>
              <a:t>Parallel Speedup</a:t>
            </a:r>
            <a:endParaRPr lang="en-NZ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Sheet1!$O$10:$O$15</c:f>
                <c:numCache>
                  <c:formatCode>General</c:formatCode>
                  <c:ptCount val="6"/>
                  <c:pt idx="0">
                    <c:v>4.1397288725867065E-3</c:v>
                  </c:pt>
                  <c:pt idx="1">
                    <c:v>9.4365038822335323E-2</c:v>
                  </c:pt>
                  <c:pt idx="2">
                    <c:v>0.19278047582957417</c:v>
                  </c:pt>
                  <c:pt idx="3">
                    <c:v>0.22710388496285466</c:v>
                  </c:pt>
                  <c:pt idx="4">
                    <c:v>0.19523702786092437</c:v>
                  </c:pt>
                  <c:pt idx="5">
                    <c:v>0.20056117604775209</c:v>
                  </c:pt>
                </c:numCache>
              </c:numRef>
            </c:plus>
            <c:minus>
              <c:numRef>
                <c:f>Sheet1!$O$10:$O$15</c:f>
                <c:numCache>
                  <c:formatCode>General</c:formatCode>
                  <c:ptCount val="6"/>
                  <c:pt idx="0">
                    <c:v>4.1397288725867065E-3</c:v>
                  </c:pt>
                  <c:pt idx="1">
                    <c:v>9.4365038822335323E-2</c:v>
                  </c:pt>
                  <c:pt idx="2">
                    <c:v>0.19278047582957417</c:v>
                  </c:pt>
                  <c:pt idx="3">
                    <c:v>0.22710388496285466</c:v>
                  </c:pt>
                  <c:pt idx="4">
                    <c:v>0.19523702786092437</c:v>
                  </c:pt>
                  <c:pt idx="5">
                    <c:v>0.20056117604775209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Sheet2!$H$18:$H$23</c:f>
              <c:strCache>
                <c:ptCount val="6"/>
                <c:pt idx="0">
                  <c:v>10 cities</c:v>
                </c:pt>
                <c:pt idx="1">
                  <c:v>15 cities</c:v>
                </c:pt>
                <c:pt idx="2">
                  <c:v>20 cities</c:v>
                </c:pt>
                <c:pt idx="3">
                  <c:v>25 cities</c:v>
                </c:pt>
                <c:pt idx="4">
                  <c:v>30 cities</c:v>
                </c:pt>
                <c:pt idx="5">
                  <c:v>35 cities</c:v>
                </c:pt>
              </c:strCache>
            </c:strRef>
          </c:cat>
          <c:val>
            <c:numRef>
              <c:f>Sheet2!$N$18:$N$23</c:f>
              <c:numCache>
                <c:formatCode>General</c:formatCode>
                <c:ptCount val="6"/>
                <c:pt idx="0">
                  <c:v>0.1098905472636816</c:v>
                </c:pt>
                <c:pt idx="1">
                  <c:v>0.67880099502487568</c:v>
                </c:pt>
                <c:pt idx="2">
                  <c:v>3.2706411618668989</c:v>
                </c:pt>
                <c:pt idx="3">
                  <c:v>3.7436621776338557</c:v>
                </c:pt>
                <c:pt idx="4">
                  <c:v>3.7723243149705334</c:v>
                </c:pt>
                <c:pt idx="5">
                  <c:v>3.6543216136307777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578-45D4-A2B3-3F2F59C994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07480168"/>
        <c:axId val="307483696"/>
      </c:barChart>
      <c:catAx>
        <c:axId val="307480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7483696"/>
        <c:crosses val="autoZero"/>
        <c:auto val="1"/>
        <c:lblAlgn val="ctr"/>
        <c:lblOffset val="100"/>
        <c:noMultiLvlLbl val="0"/>
      </c:catAx>
      <c:valAx>
        <c:axId val="307483696"/>
        <c:scaling>
          <c:orientation val="minMax"/>
          <c:max val="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74801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NZ"/>
              <a:t>Hash</a:t>
            </a:r>
            <a:r>
              <a:rPr lang="en-NZ" baseline="0"/>
              <a:t> Distributed Parallel Speedup</a:t>
            </a:r>
            <a:endParaRPr lang="en-NZ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Sheet1!$O$10:$O$15</c:f>
                <c:numCache>
                  <c:formatCode>General</c:formatCode>
                  <c:ptCount val="6"/>
                  <c:pt idx="0">
                    <c:v>4.1397288725867065E-3</c:v>
                  </c:pt>
                  <c:pt idx="1">
                    <c:v>9.4365038822335323E-2</c:v>
                  </c:pt>
                  <c:pt idx="2">
                    <c:v>0.19278047582957417</c:v>
                  </c:pt>
                  <c:pt idx="3">
                    <c:v>0.22710388496285466</c:v>
                  </c:pt>
                  <c:pt idx="4">
                    <c:v>0.19523702786092437</c:v>
                  </c:pt>
                  <c:pt idx="5">
                    <c:v>0.20056117604775209</c:v>
                  </c:pt>
                </c:numCache>
              </c:numRef>
            </c:plus>
            <c:minus>
              <c:numRef>
                <c:f>Sheet1!$O$10:$O$15</c:f>
                <c:numCache>
                  <c:formatCode>General</c:formatCode>
                  <c:ptCount val="6"/>
                  <c:pt idx="0">
                    <c:v>4.1397288725867065E-3</c:v>
                  </c:pt>
                  <c:pt idx="1">
                    <c:v>9.4365038822335323E-2</c:v>
                  </c:pt>
                  <c:pt idx="2">
                    <c:v>0.19278047582957417</c:v>
                  </c:pt>
                  <c:pt idx="3">
                    <c:v>0.22710388496285466</c:v>
                  </c:pt>
                  <c:pt idx="4">
                    <c:v>0.19523702786092437</c:v>
                  </c:pt>
                  <c:pt idx="5">
                    <c:v>0.20056117604775209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Sheet2!$H$26:$H$31</c:f>
              <c:strCache>
                <c:ptCount val="6"/>
                <c:pt idx="0">
                  <c:v>10 cities</c:v>
                </c:pt>
                <c:pt idx="1">
                  <c:v>15 cities</c:v>
                </c:pt>
                <c:pt idx="2">
                  <c:v>20 cities</c:v>
                </c:pt>
                <c:pt idx="3">
                  <c:v>25 cities</c:v>
                </c:pt>
                <c:pt idx="4">
                  <c:v>30 cities</c:v>
                </c:pt>
                <c:pt idx="5">
                  <c:v>35 cities</c:v>
                </c:pt>
              </c:strCache>
            </c:strRef>
          </c:cat>
          <c:val>
            <c:numRef>
              <c:f>Sheet2!$N$26:$N$31</c:f>
              <c:numCache>
                <c:formatCode>General</c:formatCode>
                <c:ptCount val="6"/>
                <c:pt idx="0">
                  <c:v>0.10988557213930347</c:v>
                </c:pt>
                <c:pt idx="1">
                  <c:v>0.67999999999999994</c:v>
                </c:pt>
                <c:pt idx="2">
                  <c:v>2.6336957868272823</c:v>
                </c:pt>
                <c:pt idx="3">
                  <c:v>2.4706185459792982</c:v>
                </c:pt>
                <c:pt idx="4">
                  <c:v>3.0344871470160042</c:v>
                </c:pt>
                <c:pt idx="5">
                  <c:v>2.8721053834499592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578-45D4-A2B3-3F2F59C994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07494672"/>
        <c:axId val="307493888"/>
      </c:barChart>
      <c:catAx>
        <c:axId val="307494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7493888"/>
        <c:crosses val="autoZero"/>
        <c:auto val="1"/>
        <c:lblAlgn val="ctr"/>
        <c:lblOffset val="100"/>
        <c:noMultiLvlLbl val="0"/>
      </c:catAx>
      <c:valAx>
        <c:axId val="307493888"/>
        <c:scaling>
          <c:orientation val="minMax"/>
          <c:max val="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74946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NZ"/>
              <a:t>IDA* Parallel Speed up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Sheet1!$A$65:$A$70</c:f>
              <c:strCache>
                <c:ptCount val="6"/>
                <c:pt idx="0">
                  <c:v>10 cities</c:v>
                </c:pt>
                <c:pt idx="1">
                  <c:v>15 cities</c:v>
                </c:pt>
                <c:pt idx="2">
                  <c:v>20 cities</c:v>
                </c:pt>
                <c:pt idx="3">
                  <c:v>25 cities</c:v>
                </c:pt>
                <c:pt idx="4">
                  <c:v>30 cities</c:v>
                </c:pt>
                <c:pt idx="5">
                  <c:v>35 cities</c:v>
                </c:pt>
              </c:strCache>
            </c:strRef>
          </c:cat>
          <c:val>
            <c:numRef>
              <c:f>(Sheet1!$G$65:$G$70,Sheet1!$G$75)</c:f>
              <c:numCache>
                <c:formatCode>General</c:formatCode>
                <c:ptCount val="7"/>
                <c:pt idx="0">
                  <c:v>0.28854899190300604</c:v>
                </c:pt>
                <c:pt idx="1">
                  <c:v>1.6253475407879137</c:v>
                </c:pt>
                <c:pt idx="2">
                  <c:v>3.158653023781004</c:v>
                </c:pt>
                <c:pt idx="3">
                  <c:v>3.6651605736834569</c:v>
                </c:pt>
                <c:pt idx="4">
                  <c:v>4.2022319047408603</c:v>
                </c:pt>
                <c:pt idx="5">
                  <c:v>2.7345960602075734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B9A-4859-B2C2-E198DB7904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07493104"/>
        <c:axId val="307493496"/>
      </c:barChart>
      <c:catAx>
        <c:axId val="307493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7493496"/>
        <c:crosses val="autoZero"/>
        <c:auto val="1"/>
        <c:lblAlgn val="ctr"/>
        <c:lblOffset val="100"/>
        <c:noMultiLvlLbl val="0"/>
      </c:catAx>
      <c:valAx>
        <c:axId val="307493496"/>
        <c:scaling>
          <c:orientation val="minMax"/>
          <c:max val="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74931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NZ" sz="1200"/>
              <a:t>Centralised Parallel - Number of Threads Vs Speedup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Sheet2!$G$36</c:f>
              <c:strCache>
                <c:ptCount val="1"/>
                <c:pt idx="0">
                  <c:v>Speedup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Sheet2!$A$37:$A$40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xVal>
          <c:yVal>
            <c:numRef>
              <c:f>Sheet2!$G$37:$G$40</c:f>
              <c:numCache>
                <c:formatCode>General</c:formatCode>
                <c:ptCount val="4"/>
                <c:pt idx="0">
                  <c:v>1.8329313037772295</c:v>
                </c:pt>
                <c:pt idx="1">
                  <c:v>3.1239170840815298</c:v>
                </c:pt>
                <c:pt idx="2">
                  <c:v>3.6866809183009575</c:v>
                </c:pt>
                <c:pt idx="3">
                  <c:v>4.0766511130752949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7492320"/>
        <c:axId val="307491928"/>
      </c:scatterChart>
      <c:valAx>
        <c:axId val="3074923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Number of Threads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7491928"/>
        <c:crosses val="autoZero"/>
        <c:crossBetween val="midCat"/>
      </c:valAx>
      <c:valAx>
        <c:axId val="307491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Speedup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74923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NZ" sz="1200"/>
              <a:t>Blackboard Parallel - Number of Threads Vs Speedup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Sheet2!$G$43</c:f>
              <c:strCache>
                <c:ptCount val="1"/>
                <c:pt idx="0">
                  <c:v>Speedup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Sheet2!$A$44:$A$47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xVal>
          <c:yVal>
            <c:numRef>
              <c:f>Sheet2!$G$44:$G$47</c:f>
              <c:numCache>
                <c:formatCode>General</c:formatCode>
                <c:ptCount val="4"/>
                <c:pt idx="0">
                  <c:v>1.6796100882467522</c:v>
                </c:pt>
                <c:pt idx="1">
                  <c:v>2.3899473386115231</c:v>
                </c:pt>
                <c:pt idx="2">
                  <c:v>2.3848318322290494</c:v>
                </c:pt>
                <c:pt idx="3">
                  <c:v>2.9995160241382961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4316200"/>
        <c:axId val="304317768"/>
      </c:scatterChart>
      <c:valAx>
        <c:axId val="3043162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Number of Threads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4317768"/>
        <c:crosses val="autoZero"/>
        <c:crossBetween val="midCat"/>
      </c:valAx>
      <c:valAx>
        <c:axId val="304317768"/>
        <c:scaling>
          <c:orientation val="minMax"/>
          <c:max val="4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Speedup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43162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NZ" sz="1200"/>
              <a:t>Hash Distributed</a:t>
            </a:r>
            <a:r>
              <a:rPr lang="en-NZ" sz="1200" baseline="0"/>
              <a:t> </a:t>
            </a:r>
            <a:r>
              <a:rPr lang="en-NZ" sz="1200"/>
              <a:t>Parallel -Number of Threads Vs Speedup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Sheet2!$G$50</c:f>
              <c:strCache>
                <c:ptCount val="1"/>
                <c:pt idx="0">
                  <c:v>Speedup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Sheet2!$A$51:$A$54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xVal>
          <c:yVal>
            <c:numRef>
              <c:f>Sheet2!$G$51:$G$54</c:f>
              <c:numCache>
                <c:formatCode>General</c:formatCode>
                <c:ptCount val="4"/>
                <c:pt idx="0">
                  <c:v>1.8285711651407446</c:v>
                </c:pt>
                <c:pt idx="1">
                  <c:v>2.6339730393784446</c:v>
                </c:pt>
                <c:pt idx="2">
                  <c:v>3.252189170574924</c:v>
                </c:pt>
                <c:pt idx="3">
                  <c:v>3.6485641223761429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4315024"/>
        <c:axId val="304320120"/>
      </c:scatterChart>
      <c:valAx>
        <c:axId val="3043150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Number of Threads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4320120"/>
        <c:crosses val="autoZero"/>
        <c:crossBetween val="midCat"/>
      </c:valAx>
      <c:valAx>
        <c:axId val="304320120"/>
        <c:scaling>
          <c:orientation val="minMax"/>
          <c:max val="4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Speedup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43150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NZ" sz="1100"/>
              <a:t>Parallel IDA* - Number of Threads Vs Speedup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Sheet1!$A$75:$A$78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xVal>
          <c:yVal>
            <c:numRef>
              <c:f>Sheet1!$C$75:$C$78</c:f>
              <c:numCache>
                <c:formatCode>General</c:formatCode>
                <c:ptCount val="4"/>
                <c:pt idx="0">
                  <c:v>0.85174342621151133</c:v>
                </c:pt>
                <c:pt idx="1">
                  <c:v>1.8515824762770612</c:v>
                </c:pt>
                <c:pt idx="2">
                  <c:v>3.068650532065166</c:v>
                </c:pt>
                <c:pt idx="3">
                  <c:v>3.3802904564315353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B87-4048-ABEB-E69FEF4DE9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8424328"/>
        <c:axId val="368425504"/>
      </c:scatterChart>
      <c:valAx>
        <c:axId val="3684243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Number of Threads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8425504"/>
        <c:crosses val="autoZero"/>
        <c:crossBetween val="midCat"/>
      </c:valAx>
      <c:valAx>
        <c:axId val="368425504"/>
        <c:scaling>
          <c:orientation val="minMax"/>
          <c:max val="4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Speedup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84243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Thresholds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Sheet1!$U$72:$U$76</c:f>
              <c:strCache>
                <c:ptCount val="5"/>
                <c:pt idx="0">
                  <c:v>2.701800809</c:v>
                </c:pt>
                <c:pt idx="1">
                  <c:v>2.903934271</c:v>
                </c:pt>
                <c:pt idx="2">
                  <c:v>2.501565265</c:v>
                </c:pt>
                <c:pt idx="3">
                  <c:v>1.794473736</c:v>
                </c:pt>
                <c:pt idx="4">
                  <c:v>1.811988564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Sheet1!$R$72:$R$76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5</c:v>
                </c:pt>
                <c:pt idx="3">
                  <c:v>10</c:v>
                </c:pt>
                <c:pt idx="4">
                  <c:v>12</c:v>
                </c:pt>
              </c:numCache>
            </c:numRef>
          </c:xVal>
          <c:yVal>
            <c:numRef>
              <c:f>Sheet1!$U$72:$U$76</c:f>
              <c:numCache>
                <c:formatCode>General</c:formatCode>
                <c:ptCount val="5"/>
                <c:pt idx="0">
                  <c:v>2.701800808526277</c:v>
                </c:pt>
                <c:pt idx="1">
                  <c:v>2.9039342708168747</c:v>
                </c:pt>
                <c:pt idx="2">
                  <c:v>2.5015652647339048</c:v>
                </c:pt>
                <c:pt idx="3">
                  <c:v>1.7944737355985159</c:v>
                </c:pt>
                <c:pt idx="4">
                  <c:v>1.8119885635413586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C16C-49D4-8FE0-2D20B7098A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9622600"/>
        <c:axId val="299797728"/>
      </c:scatterChart>
      <c:valAx>
        <c:axId val="3696226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Threshold</a:t>
                </a:r>
                <a:r>
                  <a:rPr lang="en-NZ" baseline="0"/>
                  <a:t> values</a:t>
                </a:r>
                <a:endParaRPr lang="en-NZ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797728"/>
        <c:crosses val="autoZero"/>
        <c:crossBetween val="midCat"/>
      </c:valAx>
      <c:valAx>
        <c:axId val="299797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Speedup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96226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NZ"/>
              <a:t>Number of states to copy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Sheet1!$U$79:$U$83</c:f>
              <c:numCache>
                <c:formatCode>General</c:formatCode>
                <c:ptCount val="5"/>
                <c:pt idx="0">
                  <c:v>2.9196187450357427</c:v>
                </c:pt>
                <c:pt idx="1">
                  <c:v>2.9039342708168747</c:v>
                </c:pt>
                <c:pt idx="2">
                  <c:v>2.9399344157402223</c:v>
                </c:pt>
                <c:pt idx="3">
                  <c:v>2.8701491371905989</c:v>
                </c:pt>
                <c:pt idx="4">
                  <c:v>3.0532436248857877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674F-4B05-9DC1-FA75E2CE18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4146616"/>
        <c:axId val="159462472"/>
      </c:scatterChart>
      <c:valAx>
        <c:axId val="3041466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Number of state to copy</a:t>
                </a:r>
                <a:r>
                  <a:rPr lang="en-NZ" baseline="0"/>
                  <a:t> at once</a:t>
                </a:r>
                <a:endParaRPr lang="en-NZ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462472"/>
        <c:crossesAt val="2.8499999999999996"/>
        <c:crossBetween val="midCat"/>
      </c:valAx>
      <c:valAx>
        <c:axId val="15946247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Speedup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41466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Number of states to copy (40 city)</a:t>
            </a:r>
            <a:endParaRPr lang="en-NZ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Sheet1!$R$86:$R$90</c:f>
              <c:numCache>
                <c:formatCode>General</c:formatCode>
                <c:ptCount val="5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</c:numCache>
            </c:numRef>
          </c:xVal>
          <c:yVal>
            <c:numRef>
              <c:f>Sheet1!$U$86:$U$90</c:f>
              <c:numCache>
                <c:formatCode>General</c:formatCode>
                <c:ptCount val="5"/>
                <c:pt idx="0">
                  <c:v>3.5103169762110089</c:v>
                </c:pt>
                <c:pt idx="1">
                  <c:v>3.5393506245625943</c:v>
                </c:pt>
                <c:pt idx="2">
                  <c:v>3.7728269469876796</c:v>
                </c:pt>
                <c:pt idx="3">
                  <c:v>4.1584481598684375</c:v>
                </c:pt>
                <c:pt idx="4">
                  <c:v>3.6370788475787821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6D0-4210-8DA3-D05F43434E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9056608"/>
        <c:axId val="368417664"/>
      </c:scatterChart>
      <c:valAx>
        <c:axId val="3690566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Number of states to copy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8417664"/>
        <c:crosses val="autoZero"/>
        <c:crossBetween val="midCat"/>
      </c:valAx>
      <c:valAx>
        <c:axId val="368417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Speedup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90566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NZ"/>
              <a:t>Threshold</a:t>
            </a:r>
            <a:r>
              <a:rPr lang="en-NZ" baseline="0"/>
              <a:t> Values (40 cities)</a:t>
            </a:r>
            <a:endParaRPr lang="en-NZ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Sheet1!$R$94:$R$98</c:f>
              <c:numCache>
                <c:formatCode>General</c:formatCode>
                <c:ptCount val="5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</c:numCache>
            </c:numRef>
          </c:xVal>
          <c:yVal>
            <c:numRef>
              <c:f>Sheet1!$U$94:$U$98</c:f>
              <c:numCache>
                <c:formatCode>General</c:formatCode>
                <c:ptCount val="5"/>
                <c:pt idx="0">
                  <c:v>4.4421346819270697</c:v>
                </c:pt>
                <c:pt idx="1">
                  <c:v>4.03977052672347</c:v>
                </c:pt>
                <c:pt idx="2">
                  <c:v>3.1100406246505909</c:v>
                </c:pt>
                <c:pt idx="3">
                  <c:v>2.6769805752049147</c:v>
                </c:pt>
                <c:pt idx="4">
                  <c:v>2.4935528694586799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E8A0-40AA-9311-A29CCFEA5D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9925904"/>
        <c:axId val="379937272"/>
      </c:scatterChart>
      <c:valAx>
        <c:axId val="3799259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Thresholds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9937272"/>
        <c:crosses val="autoZero"/>
        <c:crossBetween val="midCat"/>
      </c:valAx>
      <c:valAx>
        <c:axId val="379937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Speedup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99259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2.xml"/><Relationship Id="rId3" Type="http://schemas.openxmlformats.org/officeDocument/2006/relationships/chart" Target="../charts/chart17.xml"/><Relationship Id="rId7" Type="http://schemas.openxmlformats.org/officeDocument/2006/relationships/chart" Target="../charts/chart21.xml"/><Relationship Id="rId12" Type="http://schemas.openxmlformats.org/officeDocument/2006/relationships/chart" Target="../charts/chart26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Relationship Id="rId6" Type="http://schemas.openxmlformats.org/officeDocument/2006/relationships/chart" Target="../charts/chart20.xml"/><Relationship Id="rId11" Type="http://schemas.openxmlformats.org/officeDocument/2006/relationships/chart" Target="../charts/chart25.xml"/><Relationship Id="rId5" Type="http://schemas.openxmlformats.org/officeDocument/2006/relationships/chart" Target="../charts/chart19.xml"/><Relationship Id="rId10" Type="http://schemas.openxmlformats.org/officeDocument/2006/relationships/chart" Target="../charts/chart24.xml"/><Relationship Id="rId4" Type="http://schemas.openxmlformats.org/officeDocument/2006/relationships/chart" Target="../charts/chart18.xml"/><Relationship Id="rId9" Type="http://schemas.openxmlformats.org/officeDocument/2006/relationships/chart" Target="../charts/chart2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223837</xdr:colOff>
      <xdr:row>1</xdr:row>
      <xdr:rowOff>23812</xdr:rowOff>
    </xdr:from>
    <xdr:to>
      <xdr:col>23</xdr:col>
      <xdr:colOff>528637</xdr:colOff>
      <xdr:row>15</xdr:row>
      <xdr:rowOff>100012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261937</xdr:colOff>
      <xdr:row>17</xdr:row>
      <xdr:rowOff>42862</xdr:rowOff>
    </xdr:from>
    <xdr:to>
      <xdr:col>23</xdr:col>
      <xdr:colOff>566737</xdr:colOff>
      <xdr:row>31</xdr:row>
      <xdr:rowOff>119062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223837</xdr:colOff>
      <xdr:row>31</xdr:row>
      <xdr:rowOff>109537</xdr:rowOff>
    </xdr:from>
    <xdr:to>
      <xdr:col>23</xdr:col>
      <xdr:colOff>528637</xdr:colOff>
      <xdr:row>45</xdr:row>
      <xdr:rowOff>185737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400050</xdr:colOff>
      <xdr:row>32</xdr:row>
      <xdr:rowOff>176212</xdr:rowOff>
    </xdr:from>
    <xdr:to>
      <xdr:col>16</xdr:col>
      <xdr:colOff>95250</xdr:colOff>
      <xdr:row>47</xdr:row>
      <xdr:rowOff>61912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433387</xdr:colOff>
      <xdr:row>48</xdr:row>
      <xdr:rowOff>71437</xdr:rowOff>
    </xdr:from>
    <xdr:to>
      <xdr:col>16</xdr:col>
      <xdr:colOff>128587</xdr:colOff>
      <xdr:row>62</xdr:row>
      <xdr:rowOff>147637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442912</xdr:colOff>
      <xdr:row>63</xdr:row>
      <xdr:rowOff>119062</xdr:rowOff>
    </xdr:from>
    <xdr:to>
      <xdr:col>16</xdr:col>
      <xdr:colOff>138112</xdr:colOff>
      <xdr:row>78</xdr:row>
      <xdr:rowOff>4762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xmlns="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161924</xdr:colOff>
      <xdr:row>46</xdr:row>
      <xdr:rowOff>123825</xdr:rowOff>
    </xdr:from>
    <xdr:to>
      <xdr:col>23</xdr:col>
      <xdr:colOff>457200</xdr:colOff>
      <xdr:row>61</xdr:row>
      <xdr:rowOff>19050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471487</xdr:colOff>
      <xdr:row>78</xdr:row>
      <xdr:rowOff>147637</xdr:rowOff>
    </xdr:from>
    <xdr:to>
      <xdr:col>16</xdr:col>
      <xdr:colOff>166687</xdr:colOff>
      <xdr:row>93</xdr:row>
      <xdr:rowOff>33337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21</xdr:col>
      <xdr:colOff>381000</xdr:colOff>
      <xdr:row>67</xdr:row>
      <xdr:rowOff>42862</xdr:rowOff>
    </xdr:from>
    <xdr:to>
      <xdr:col>29</xdr:col>
      <xdr:colOff>76200</xdr:colOff>
      <xdr:row>81</xdr:row>
      <xdr:rowOff>119062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xmlns="" id="{00000000-0008-0000-00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22</xdr:col>
      <xdr:colOff>447675</xdr:colOff>
      <xdr:row>83</xdr:row>
      <xdr:rowOff>4762</xdr:rowOff>
    </xdr:from>
    <xdr:to>
      <xdr:col>30</xdr:col>
      <xdr:colOff>142875</xdr:colOff>
      <xdr:row>97</xdr:row>
      <xdr:rowOff>80962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17</xdr:col>
      <xdr:colOff>0</xdr:colOff>
      <xdr:row>99</xdr:row>
      <xdr:rowOff>33337</xdr:rowOff>
    </xdr:from>
    <xdr:to>
      <xdr:col>23</xdr:col>
      <xdr:colOff>28575</xdr:colOff>
      <xdr:row>113</xdr:row>
      <xdr:rowOff>109537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xmlns="" id="{00000000-0008-0000-00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22</xdr:col>
      <xdr:colOff>523875</xdr:colOff>
      <xdr:row>98</xdr:row>
      <xdr:rowOff>14287</xdr:rowOff>
    </xdr:from>
    <xdr:to>
      <xdr:col>30</xdr:col>
      <xdr:colOff>219075</xdr:colOff>
      <xdr:row>112</xdr:row>
      <xdr:rowOff>90487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24</xdr:col>
      <xdr:colOff>400050</xdr:colOff>
      <xdr:row>1</xdr:row>
      <xdr:rowOff>33337</xdr:rowOff>
    </xdr:from>
    <xdr:to>
      <xdr:col>32</xdr:col>
      <xdr:colOff>95250</xdr:colOff>
      <xdr:row>15</xdr:row>
      <xdr:rowOff>109537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xmlns="" id="{00000000-0008-0000-00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24</xdr:col>
      <xdr:colOff>400050</xdr:colOff>
      <xdr:row>16</xdr:row>
      <xdr:rowOff>23812</xdr:rowOff>
    </xdr:from>
    <xdr:to>
      <xdr:col>32</xdr:col>
      <xdr:colOff>95250</xdr:colOff>
      <xdr:row>30</xdr:row>
      <xdr:rowOff>100012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180975</xdr:colOff>
      <xdr:row>2</xdr:row>
      <xdr:rowOff>9525</xdr:rowOff>
    </xdr:from>
    <xdr:to>
      <xdr:col>26</xdr:col>
      <xdr:colOff>57150</xdr:colOff>
      <xdr:row>16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66675</xdr:colOff>
      <xdr:row>2</xdr:row>
      <xdr:rowOff>0</xdr:rowOff>
    </xdr:from>
    <xdr:to>
      <xdr:col>35</xdr:col>
      <xdr:colOff>38100</xdr:colOff>
      <xdr:row>16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180975</xdr:colOff>
      <xdr:row>16</xdr:row>
      <xdr:rowOff>76200</xdr:rowOff>
    </xdr:from>
    <xdr:to>
      <xdr:col>26</xdr:col>
      <xdr:colOff>57150</xdr:colOff>
      <xdr:row>30</xdr:row>
      <xdr:rowOff>152400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26</xdr:col>
      <xdr:colOff>66675</xdr:colOff>
      <xdr:row>16</xdr:row>
      <xdr:rowOff>76200</xdr:rowOff>
    </xdr:from>
    <xdr:to>
      <xdr:col>35</xdr:col>
      <xdr:colOff>28576</xdr:colOff>
      <xdr:row>30</xdr:row>
      <xdr:rowOff>161925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514350</xdr:colOff>
      <xdr:row>31</xdr:row>
      <xdr:rowOff>176212</xdr:rowOff>
    </xdr:from>
    <xdr:to>
      <xdr:col>19</xdr:col>
      <xdr:colOff>9525</xdr:colOff>
      <xdr:row>46</xdr:row>
      <xdr:rowOff>61912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19</xdr:col>
      <xdr:colOff>19050</xdr:colOff>
      <xdr:row>31</xdr:row>
      <xdr:rowOff>161925</xdr:rowOff>
    </xdr:from>
    <xdr:to>
      <xdr:col>26</xdr:col>
      <xdr:colOff>323850</xdr:colOff>
      <xdr:row>46</xdr:row>
      <xdr:rowOff>47625</xdr:rowOff>
    </xdr:to>
    <xdr:graphicFrame macro="">
      <xdr:nvGraphicFramePr>
        <xdr:cNvPr id="10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</xdr:col>
      <xdr:colOff>523875</xdr:colOff>
      <xdr:row>46</xdr:row>
      <xdr:rowOff>47625</xdr:rowOff>
    </xdr:from>
    <xdr:to>
      <xdr:col>19</xdr:col>
      <xdr:colOff>19050</xdr:colOff>
      <xdr:row>60</xdr:row>
      <xdr:rowOff>123825</xdr:rowOff>
    </xdr:to>
    <xdr:graphicFrame macro="">
      <xdr:nvGraphicFramePr>
        <xdr:cNvPr id="11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19</xdr:col>
      <xdr:colOff>19050</xdr:colOff>
      <xdr:row>46</xdr:row>
      <xdr:rowOff>47625</xdr:rowOff>
    </xdr:from>
    <xdr:to>
      <xdr:col>26</xdr:col>
      <xdr:colOff>323850</xdr:colOff>
      <xdr:row>60</xdr:row>
      <xdr:rowOff>123825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</xdr:col>
      <xdr:colOff>200025</xdr:colOff>
      <xdr:row>66</xdr:row>
      <xdr:rowOff>57150</xdr:rowOff>
    </xdr:from>
    <xdr:to>
      <xdr:col>12</xdr:col>
      <xdr:colOff>504825</xdr:colOff>
      <xdr:row>80</xdr:row>
      <xdr:rowOff>133350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xmlns="" id="{00000000-0008-0000-00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5</xdr:col>
      <xdr:colOff>180975</xdr:colOff>
      <xdr:row>81</xdr:row>
      <xdr:rowOff>76200</xdr:rowOff>
    </xdr:from>
    <xdr:to>
      <xdr:col>12</xdr:col>
      <xdr:colOff>485775</xdr:colOff>
      <xdr:row>95</xdr:row>
      <xdr:rowOff>152400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13</xdr:col>
      <xdr:colOff>76200</xdr:colOff>
      <xdr:row>81</xdr:row>
      <xdr:rowOff>133350</xdr:rowOff>
    </xdr:from>
    <xdr:to>
      <xdr:col>20</xdr:col>
      <xdr:colOff>381000</xdr:colOff>
      <xdr:row>96</xdr:row>
      <xdr:rowOff>19050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xmlns="" id="{00000000-0008-0000-00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13</xdr:col>
      <xdr:colOff>95250</xdr:colOff>
      <xdr:row>66</xdr:row>
      <xdr:rowOff>38100</xdr:rowOff>
    </xdr:from>
    <xdr:to>
      <xdr:col>20</xdr:col>
      <xdr:colOff>400050</xdr:colOff>
      <xdr:row>80</xdr:row>
      <xdr:rowOff>114300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8"/>
  <sheetViews>
    <sheetView topLeftCell="K75" workbookViewId="0">
      <selection activeCell="R70" sqref="R70:U98"/>
    </sheetView>
  </sheetViews>
  <sheetFormatPr defaultRowHeight="15" x14ac:dyDescent="0.25"/>
  <cols>
    <col min="1" max="1" width="10.85546875" customWidth="1"/>
    <col min="18" max="18" width="11.5703125" customWidth="1"/>
    <col min="19" max="20" width="14.5703125" customWidth="1"/>
  </cols>
  <sheetData>
    <row r="1" spans="1:15" x14ac:dyDescent="0.25">
      <c r="A1" t="s">
        <v>0</v>
      </c>
      <c r="G1" t="s">
        <v>1</v>
      </c>
      <c r="I1" t="s">
        <v>2</v>
      </c>
      <c r="O1" t="s">
        <v>3</v>
      </c>
    </row>
    <row r="2" spans="1:15" x14ac:dyDescent="0.25">
      <c r="A2" t="s">
        <v>4</v>
      </c>
      <c r="B2">
        <v>22</v>
      </c>
      <c r="C2">
        <v>23</v>
      </c>
      <c r="D2">
        <v>22</v>
      </c>
      <c r="E2">
        <v>22</v>
      </c>
      <c r="F2">
        <v>21</v>
      </c>
      <c r="G2">
        <v>75</v>
      </c>
      <c r="H2">
        <f>AVERAGE(B2:F2)</f>
        <v>22</v>
      </c>
      <c r="I2" t="s">
        <v>4</v>
      </c>
      <c r="J2">
        <v>241</v>
      </c>
      <c r="K2">
        <v>241</v>
      </c>
      <c r="L2">
        <v>232</v>
      </c>
      <c r="M2">
        <v>192</v>
      </c>
      <c r="N2">
        <v>217</v>
      </c>
      <c r="O2">
        <v>85</v>
      </c>
    </row>
    <row r="3" spans="1:15" x14ac:dyDescent="0.25">
      <c r="A3" t="s">
        <v>5</v>
      </c>
      <c r="B3">
        <v>184</v>
      </c>
      <c r="C3">
        <v>185</v>
      </c>
      <c r="D3">
        <v>210</v>
      </c>
      <c r="E3">
        <v>185</v>
      </c>
      <c r="F3">
        <v>194</v>
      </c>
      <c r="G3">
        <v>108</v>
      </c>
      <c r="H3">
        <f t="shared" ref="H3:H7" si="0">AVERAGE(B3:F3)</f>
        <v>191.6</v>
      </c>
      <c r="I3" t="s">
        <v>5</v>
      </c>
      <c r="J3">
        <v>5333</v>
      </c>
      <c r="K3">
        <v>5318</v>
      </c>
      <c r="L3">
        <v>5201</v>
      </c>
      <c r="M3">
        <v>5196</v>
      </c>
      <c r="N3">
        <v>5208</v>
      </c>
      <c r="O3">
        <v>115</v>
      </c>
    </row>
    <row r="4" spans="1:15" x14ac:dyDescent="0.25">
      <c r="A4" t="s">
        <v>6</v>
      </c>
      <c r="B4">
        <v>1233</v>
      </c>
      <c r="C4">
        <v>1242</v>
      </c>
      <c r="D4">
        <v>1221</v>
      </c>
      <c r="E4">
        <v>1252</v>
      </c>
      <c r="F4">
        <v>1208</v>
      </c>
      <c r="G4">
        <v>153</v>
      </c>
      <c r="H4">
        <f t="shared" si="0"/>
        <v>1231.2</v>
      </c>
      <c r="I4" t="s">
        <v>6</v>
      </c>
      <c r="J4">
        <v>46539</v>
      </c>
      <c r="K4">
        <v>46809</v>
      </c>
      <c r="L4">
        <v>46327</v>
      </c>
      <c r="M4">
        <v>48480</v>
      </c>
      <c r="N4">
        <v>48079</v>
      </c>
      <c r="O4">
        <v>120</v>
      </c>
    </row>
    <row r="5" spans="1:15" x14ac:dyDescent="0.25">
      <c r="A5" t="s">
        <v>7</v>
      </c>
      <c r="B5">
        <v>2011</v>
      </c>
      <c r="C5">
        <v>1942</v>
      </c>
      <c r="D5">
        <v>1937</v>
      </c>
      <c r="E5">
        <v>1854</v>
      </c>
      <c r="F5">
        <v>1932</v>
      </c>
      <c r="G5">
        <v>110</v>
      </c>
      <c r="H5">
        <f t="shared" si="0"/>
        <v>1935.2</v>
      </c>
      <c r="I5" t="s">
        <v>7</v>
      </c>
      <c r="J5">
        <v>65172</v>
      </c>
      <c r="K5">
        <v>65387</v>
      </c>
      <c r="L5">
        <v>66059</v>
      </c>
      <c r="M5">
        <v>65819</v>
      </c>
      <c r="N5">
        <v>68030</v>
      </c>
      <c r="O5">
        <v>117</v>
      </c>
    </row>
    <row r="6" spans="1:15" x14ac:dyDescent="0.25">
      <c r="A6" t="s">
        <v>8</v>
      </c>
      <c r="B6">
        <v>7392</v>
      </c>
      <c r="C6">
        <v>7689</v>
      </c>
      <c r="D6">
        <v>7686</v>
      </c>
      <c r="E6">
        <v>7251</v>
      </c>
      <c r="F6">
        <v>7697</v>
      </c>
      <c r="G6">
        <v>425</v>
      </c>
      <c r="H6">
        <f t="shared" si="0"/>
        <v>7543</v>
      </c>
      <c r="I6" t="s">
        <v>8</v>
      </c>
      <c r="J6">
        <v>255085</v>
      </c>
      <c r="K6">
        <v>248889</v>
      </c>
      <c r="L6">
        <v>252470</v>
      </c>
      <c r="M6">
        <v>228790</v>
      </c>
      <c r="N6">
        <v>246291</v>
      </c>
      <c r="O6">
        <v>126</v>
      </c>
    </row>
    <row r="7" spans="1:15" x14ac:dyDescent="0.25">
      <c r="A7" t="s">
        <v>9</v>
      </c>
      <c r="B7">
        <v>13133</v>
      </c>
      <c r="C7">
        <v>13681</v>
      </c>
      <c r="D7">
        <v>13380</v>
      </c>
      <c r="E7">
        <v>12354</v>
      </c>
      <c r="F7">
        <v>12386</v>
      </c>
      <c r="G7">
        <v>923</v>
      </c>
      <c r="H7">
        <f t="shared" si="0"/>
        <v>12986.8</v>
      </c>
      <c r="I7" t="s">
        <v>9</v>
      </c>
      <c r="J7">
        <v>253940</v>
      </c>
      <c r="K7">
        <v>252626</v>
      </c>
      <c r="L7">
        <v>252878</v>
      </c>
      <c r="M7">
        <v>256982</v>
      </c>
      <c r="N7">
        <v>267158</v>
      </c>
      <c r="O7">
        <v>125</v>
      </c>
    </row>
    <row r="8" spans="1:15" x14ac:dyDescent="0.25">
      <c r="I8" t="s">
        <v>10</v>
      </c>
      <c r="J8">
        <v>256060</v>
      </c>
    </row>
    <row r="9" spans="1:15" x14ac:dyDescent="0.25">
      <c r="A9" t="s">
        <v>11</v>
      </c>
      <c r="H9" t="s">
        <v>12</v>
      </c>
      <c r="N9" t="s">
        <v>13</v>
      </c>
      <c r="O9" t="s">
        <v>14</v>
      </c>
    </row>
    <row r="10" spans="1:15" x14ac:dyDescent="0.25">
      <c r="A10" t="s">
        <v>4</v>
      </c>
      <c r="B10">
        <v>223</v>
      </c>
      <c r="C10">
        <v>215</v>
      </c>
      <c r="D10">
        <v>221</v>
      </c>
      <c r="E10">
        <v>223</v>
      </c>
      <c r="F10">
        <v>223</v>
      </c>
      <c r="H10" t="s">
        <v>4</v>
      </c>
      <c r="I10">
        <f t="shared" ref="I10:M14" si="1">B2/B10</f>
        <v>9.8654708520179366E-2</v>
      </c>
      <c r="J10">
        <f t="shared" si="1"/>
        <v>0.10697674418604651</v>
      </c>
      <c r="K10">
        <f t="shared" si="1"/>
        <v>9.9547511312217188E-2</v>
      </c>
      <c r="L10">
        <f t="shared" si="1"/>
        <v>9.8654708520179366E-2</v>
      </c>
      <c r="M10">
        <f t="shared" si="1"/>
        <v>9.417040358744394E-2</v>
      </c>
      <c r="N10">
        <f>AVERAGE(I10:M10)</f>
        <v>9.9600815225213274E-2</v>
      </c>
      <c r="O10">
        <f>_xlfn.STDEV.P(I10:M10)</f>
        <v>4.1397288725867065E-3</v>
      </c>
    </row>
    <row r="11" spans="1:15" x14ac:dyDescent="0.25">
      <c r="A11" t="s">
        <v>5</v>
      </c>
      <c r="B11">
        <v>256</v>
      </c>
      <c r="C11">
        <v>223</v>
      </c>
      <c r="D11">
        <v>210</v>
      </c>
      <c r="E11">
        <v>209</v>
      </c>
      <c r="F11">
        <v>210</v>
      </c>
      <c r="H11" t="s">
        <v>5</v>
      </c>
      <c r="I11">
        <f t="shared" si="1"/>
        <v>0.71875</v>
      </c>
      <c r="J11">
        <f t="shared" si="1"/>
        <v>0.82959641255605376</v>
      </c>
      <c r="K11">
        <f t="shared" si="1"/>
        <v>1</v>
      </c>
      <c r="L11">
        <f t="shared" si="1"/>
        <v>0.88516746411483249</v>
      </c>
      <c r="M11">
        <f t="shared" si="1"/>
        <v>0.92380952380952386</v>
      </c>
      <c r="N11">
        <f t="shared" ref="N11:N14" si="2">AVERAGE(I11:M11)</f>
        <v>0.87146468009608191</v>
      </c>
      <c r="O11">
        <f t="shared" ref="O11:O14" si="3">_xlfn.STDEV.P(I11:M11)</f>
        <v>9.4365038822335323E-2</v>
      </c>
    </row>
    <row r="12" spans="1:15" x14ac:dyDescent="0.25">
      <c r="A12" t="s">
        <v>6</v>
      </c>
      <c r="B12">
        <v>444</v>
      </c>
      <c r="C12">
        <v>477</v>
      </c>
      <c r="D12">
        <v>445</v>
      </c>
      <c r="E12">
        <v>446</v>
      </c>
      <c r="F12">
        <v>529</v>
      </c>
      <c r="H12" t="s">
        <v>6</v>
      </c>
      <c r="I12">
        <f t="shared" si="1"/>
        <v>2.7770270270270272</v>
      </c>
      <c r="J12">
        <f t="shared" si="1"/>
        <v>2.6037735849056602</v>
      </c>
      <c r="K12">
        <f t="shared" si="1"/>
        <v>2.743820224719101</v>
      </c>
      <c r="L12">
        <f t="shared" si="1"/>
        <v>2.8071748878923768</v>
      </c>
      <c r="M12">
        <f t="shared" si="1"/>
        <v>2.2835538752362949</v>
      </c>
      <c r="N12">
        <f t="shared" si="2"/>
        <v>2.6430699199560919</v>
      </c>
      <c r="O12">
        <f t="shared" si="3"/>
        <v>0.19278047582957417</v>
      </c>
    </row>
    <row r="13" spans="1:15" x14ac:dyDescent="0.25">
      <c r="A13" t="s">
        <v>7</v>
      </c>
      <c r="B13">
        <v>593</v>
      </c>
      <c r="C13">
        <v>650</v>
      </c>
      <c r="D13">
        <v>635</v>
      </c>
      <c r="E13">
        <v>593</v>
      </c>
      <c r="F13">
        <v>719</v>
      </c>
      <c r="H13" t="s">
        <v>7</v>
      </c>
      <c r="I13">
        <f t="shared" si="1"/>
        <v>3.3912310286677907</v>
      </c>
      <c r="J13">
        <f t="shared" si="1"/>
        <v>2.9876923076923076</v>
      </c>
      <c r="K13">
        <f t="shared" si="1"/>
        <v>3.0503937007874016</v>
      </c>
      <c r="L13">
        <f t="shared" si="1"/>
        <v>3.126475548060708</v>
      </c>
      <c r="M13">
        <f t="shared" si="1"/>
        <v>2.6870653685674548</v>
      </c>
      <c r="N13">
        <f t="shared" si="2"/>
        <v>3.0485715907551327</v>
      </c>
      <c r="O13">
        <f t="shared" si="3"/>
        <v>0.22710388496285466</v>
      </c>
    </row>
    <row r="14" spans="1:15" x14ac:dyDescent="0.25">
      <c r="A14" t="s">
        <v>8</v>
      </c>
      <c r="B14">
        <v>1761</v>
      </c>
      <c r="C14">
        <v>1827</v>
      </c>
      <c r="D14">
        <v>1813</v>
      </c>
      <c r="E14">
        <v>1886</v>
      </c>
      <c r="F14">
        <v>1729</v>
      </c>
      <c r="H14" t="s">
        <v>8</v>
      </c>
      <c r="I14">
        <f t="shared" si="1"/>
        <v>4.1976149914821121</v>
      </c>
      <c r="J14">
        <f t="shared" si="1"/>
        <v>4.208538587848933</v>
      </c>
      <c r="K14">
        <f t="shared" si="1"/>
        <v>4.2393822393822393</v>
      </c>
      <c r="L14">
        <f t="shared" si="1"/>
        <v>3.8446447507953341</v>
      </c>
      <c r="M14">
        <f t="shared" si="1"/>
        <v>4.451706188548294</v>
      </c>
      <c r="N14">
        <f t="shared" si="2"/>
        <v>4.1883773516113818</v>
      </c>
      <c r="O14">
        <f t="shared" si="3"/>
        <v>0.19523702786092437</v>
      </c>
    </row>
    <row r="15" spans="1:15" x14ac:dyDescent="0.25">
      <c r="A15" t="s">
        <v>9</v>
      </c>
      <c r="B15">
        <v>4894</v>
      </c>
      <c r="C15">
        <v>4470</v>
      </c>
      <c r="D15">
        <v>4707</v>
      </c>
      <c r="E15">
        <v>4844</v>
      </c>
      <c r="F15">
        <v>4061</v>
      </c>
      <c r="H15" t="s">
        <v>9</v>
      </c>
      <c r="I15">
        <f>B7/B15</f>
        <v>2.68348998774009</v>
      </c>
      <c r="J15">
        <f t="shared" ref="J15:M15" si="4">C7/C15</f>
        <v>3.060626398210291</v>
      </c>
      <c r="K15">
        <f t="shared" si="4"/>
        <v>2.8425748884639899</v>
      </c>
      <c r="L15">
        <f t="shared" si="4"/>
        <v>2.5503715937241949</v>
      </c>
      <c r="M15">
        <f t="shared" si="4"/>
        <v>3.049987687761635</v>
      </c>
      <c r="N15">
        <f t="shared" ref="N15" si="5">AVERAGE(I15:M15)</f>
        <v>2.8374101111800401</v>
      </c>
      <c r="O15">
        <f t="shared" ref="O15" si="6">_xlfn.STDEV.P(I15:M15)</f>
        <v>0.20056117604775209</v>
      </c>
    </row>
    <row r="17" spans="1:15" x14ac:dyDescent="0.25">
      <c r="A17" t="s">
        <v>15</v>
      </c>
      <c r="H17" t="s">
        <v>16</v>
      </c>
    </row>
    <row r="18" spans="1:15" x14ac:dyDescent="0.25">
      <c r="A18" t="s">
        <v>4</v>
      </c>
      <c r="B18">
        <v>210</v>
      </c>
      <c r="C18">
        <v>224</v>
      </c>
      <c r="D18">
        <v>223</v>
      </c>
      <c r="E18">
        <v>223</v>
      </c>
      <c r="F18">
        <v>220</v>
      </c>
      <c r="H18" t="s">
        <v>4</v>
      </c>
      <c r="I18">
        <f t="shared" ref="I18:M23" si="7">B2/B18</f>
        <v>0.10476190476190476</v>
      </c>
      <c r="J18">
        <f t="shared" si="7"/>
        <v>0.10267857142857142</v>
      </c>
      <c r="K18">
        <f t="shared" si="7"/>
        <v>9.8654708520179366E-2</v>
      </c>
      <c r="L18">
        <f t="shared" si="7"/>
        <v>9.8654708520179366E-2</v>
      </c>
      <c r="M18">
        <f t="shared" si="7"/>
        <v>9.5454545454545459E-2</v>
      </c>
      <c r="N18">
        <f t="shared" ref="N18:N23" si="8">AVERAGE(I18:M18)</f>
        <v>0.10004088773707606</v>
      </c>
      <c r="O18">
        <f t="shared" ref="O18:O23" si="9">_xlfn.STDEV.P(I18:M18)</f>
        <v>3.2900728922120787E-3</v>
      </c>
    </row>
    <row r="19" spans="1:15" x14ac:dyDescent="0.25">
      <c r="A19" t="s">
        <v>5</v>
      </c>
      <c r="B19">
        <v>213</v>
      </c>
      <c r="C19">
        <v>211</v>
      </c>
      <c r="D19">
        <v>211</v>
      </c>
      <c r="E19">
        <v>212</v>
      </c>
      <c r="F19">
        <v>210</v>
      </c>
      <c r="H19" t="s">
        <v>5</v>
      </c>
      <c r="I19">
        <f t="shared" si="7"/>
        <v>0.863849765258216</v>
      </c>
      <c r="J19">
        <f t="shared" si="7"/>
        <v>0.87677725118483407</v>
      </c>
      <c r="K19">
        <f t="shared" si="7"/>
        <v>0.99526066350710896</v>
      </c>
      <c r="L19">
        <f t="shared" si="7"/>
        <v>0.87264150943396224</v>
      </c>
      <c r="M19">
        <f t="shared" si="7"/>
        <v>0.92380952380952386</v>
      </c>
      <c r="N19">
        <f t="shared" si="8"/>
        <v>0.90646774263872898</v>
      </c>
      <c r="O19">
        <f t="shared" si="9"/>
        <v>4.9044778523543379E-2</v>
      </c>
    </row>
    <row r="20" spans="1:15" x14ac:dyDescent="0.25">
      <c r="A20" t="s">
        <v>6</v>
      </c>
      <c r="B20">
        <v>694</v>
      </c>
      <c r="C20">
        <v>695</v>
      </c>
      <c r="D20">
        <v>760</v>
      </c>
      <c r="E20">
        <v>757</v>
      </c>
      <c r="F20">
        <v>697</v>
      </c>
      <c r="H20" t="s">
        <v>6</v>
      </c>
      <c r="I20">
        <f t="shared" si="7"/>
        <v>1.776657060518732</v>
      </c>
      <c r="J20">
        <f t="shared" si="7"/>
        <v>1.7870503597122303</v>
      </c>
      <c r="K20">
        <f t="shared" si="7"/>
        <v>1.6065789473684211</v>
      </c>
      <c r="L20">
        <f t="shared" si="7"/>
        <v>1.6538969616908852</v>
      </c>
      <c r="M20">
        <f t="shared" si="7"/>
        <v>1.733142037302726</v>
      </c>
      <c r="N20">
        <f t="shared" si="8"/>
        <v>1.7114650733185985</v>
      </c>
      <c r="O20">
        <f t="shared" si="9"/>
        <v>7.0353689846512232E-2</v>
      </c>
    </row>
    <row r="21" spans="1:15" x14ac:dyDescent="0.25">
      <c r="A21" t="s">
        <v>7</v>
      </c>
      <c r="B21">
        <v>882</v>
      </c>
      <c r="C21">
        <v>952</v>
      </c>
      <c r="D21">
        <v>984</v>
      </c>
      <c r="E21">
        <v>923</v>
      </c>
      <c r="F21">
        <v>894</v>
      </c>
      <c r="H21" t="s">
        <v>7</v>
      </c>
      <c r="I21">
        <f t="shared" si="7"/>
        <v>2.2800453514739227</v>
      </c>
      <c r="J21">
        <f t="shared" si="7"/>
        <v>2.0399159663865545</v>
      </c>
      <c r="K21">
        <f t="shared" si="7"/>
        <v>1.9684959349593496</v>
      </c>
      <c r="L21">
        <f t="shared" si="7"/>
        <v>2.0086673889490791</v>
      </c>
      <c r="M21">
        <f t="shared" si="7"/>
        <v>2.1610738255033559</v>
      </c>
      <c r="N21">
        <f t="shared" si="8"/>
        <v>2.0916396934544528</v>
      </c>
      <c r="O21">
        <f t="shared" si="9"/>
        <v>0.1140543056444264</v>
      </c>
    </row>
    <row r="22" spans="1:15" x14ac:dyDescent="0.25">
      <c r="A22" t="s">
        <v>8</v>
      </c>
      <c r="B22">
        <v>2261</v>
      </c>
      <c r="C22">
        <v>2090</v>
      </c>
      <c r="D22">
        <v>2090</v>
      </c>
      <c r="E22">
        <v>2082</v>
      </c>
      <c r="F22">
        <v>2219</v>
      </c>
      <c r="H22" t="s">
        <v>8</v>
      </c>
      <c r="I22">
        <f t="shared" si="7"/>
        <v>3.2693498452012384</v>
      </c>
      <c r="J22">
        <f t="shared" si="7"/>
        <v>3.6789473684210527</v>
      </c>
      <c r="K22">
        <f t="shared" si="7"/>
        <v>3.6775119617224878</v>
      </c>
      <c r="L22">
        <f t="shared" si="7"/>
        <v>3.4827089337175794</v>
      </c>
      <c r="M22">
        <f t="shared" si="7"/>
        <v>3.4686795853988284</v>
      </c>
      <c r="N22">
        <f t="shared" si="8"/>
        <v>3.5154395388922373</v>
      </c>
      <c r="O22">
        <f t="shared" si="9"/>
        <v>0.15285300367740667</v>
      </c>
    </row>
    <row r="23" spans="1:15" x14ac:dyDescent="0.25">
      <c r="A23" t="s">
        <v>9</v>
      </c>
      <c r="B23">
        <v>4994</v>
      </c>
      <c r="C23">
        <v>5105</v>
      </c>
      <c r="D23">
        <v>4485</v>
      </c>
      <c r="E23">
        <v>4725</v>
      </c>
      <c r="F23">
        <v>4822</v>
      </c>
      <c r="H23" t="s">
        <v>9</v>
      </c>
      <c r="I23">
        <f t="shared" si="7"/>
        <v>2.629755706848218</v>
      </c>
      <c r="J23">
        <f t="shared" si="7"/>
        <v>2.6799216454456416</v>
      </c>
      <c r="K23">
        <f t="shared" si="7"/>
        <v>2.9832775919732439</v>
      </c>
      <c r="L23">
        <f t="shared" si="7"/>
        <v>2.6146031746031748</v>
      </c>
      <c r="M23">
        <f t="shared" si="7"/>
        <v>2.5686437163002904</v>
      </c>
      <c r="N23">
        <f t="shared" si="8"/>
        <v>2.6952403670341138</v>
      </c>
      <c r="O23">
        <f t="shared" si="9"/>
        <v>0.14833571092732079</v>
      </c>
    </row>
    <row r="25" spans="1:15" x14ac:dyDescent="0.25">
      <c r="A25" t="s">
        <v>17</v>
      </c>
      <c r="H25" t="s">
        <v>18</v>
      </c>
    </row>
    <row r="26" spans="1:15" x14ac:dyDescent="0.25">
      <c r="A26" t="s">
        <v>4</v>
      </c>
      <c r="B26">
        <v>219</v>
      </c>
      <c r="C26">
        <v>214</v>
      </c>
      <c r="D26">
        <v>217</v>
      </c>
      <c r="E26">
        <v>215</v>
      </c>
      <c r="F26">
        <v>225</v>
      </c>
      <c r="H26" t="s">
        <v>4</v>
      </c>
      <c r="I26">
        <f t="shared" ref="I26:M31" si="10">B2/B26</f>
        <v>0.1004566210045662</v>
      </c>
      <c r="J26">
        <f t="shared" si="10"/>
        <v>0.10747663551401869</v>
      </c>
      <c r="K26">
        <f t="shared" si="10"/>
        <v>0.10138248847926268</v>
      </c>
      <c r="L26">
        <f t="shared" si="10"/>
        <v>0.10232558139534884</v>
      </c>
      <c r="M26">
        <f t="shared" si="10"/>
        <v>9.3333333333333338E-2</v>
      </c>
      <c r="N26">
        <f t="shared" ref="N26:N31" si="11">AVERAGE(I26:M26)</f>
        <v>0.10099493194530595</v>
      </c>
      <c r="O26">
        <f t="shared" ref="O26:O31" si="12">_xlfn.STDEV.P(I26:M26)</f>
        <v>4.5370294497275683E-3</v>
      </c>
    </row>
    <row r="27" spans="1:15" x14ac:dyDescent="0.25">
      <c r="A27" t="s">
        <v>5</v>
      </c>
      <c r="B27">
        <v>210</v>
      </c>
      <c r="C27">
        <v>232</v>
      </c>
      <c r="D27">
        <v>224</v>
      </c>
      <c r="E27">
        <v>236</v>
      </c>
      <c r="F27">
        <v>208</v>
      </c>
      <c r="H27" t="s">
        <v>5</v>
      </c>
      <c r="I27">
        <f t="shared" si="10"/>
        <v>0.87619047619047619</v>
      </c>
      <c r="J27">
        <f t="shared" si="10"/>
        <v>0.79741379310344829</v>
      </c>
      <c r="K27">
        <f t="shared" si="10"/>
        <v>0.9375</v>
      </c>
      <c r="L27">
        <f t="shared" si="10"/>
        <v>0.78389830508474578</v>
      </c>
      <c r="M27">
        <f t="shared" si="10"/>
        <v>0.93269230769230771</v>
      </c>
      <c r="N27">
        <f t="shared" si="11"/>
        <v>0.86553897641419564</v>
      </c>
      <c r="O27">
        <f t="shared" si="12"/>
        <v>6.4973306951385576E-2</v>
      </c>
    </row>
    <row r="28" spans="1:15" x14ac:dyDescent="0.25">
      <c r="A28" t="s">
        <v>6</v>
      </c>
      <c r="B28">
        <v>425</v>
      </c>
      <c r="C28">
        <v>449</v>
      </c>
      <c r="D28">
        <v>496</v>
      </c>
      <c r="E28">
        <v>556</v>
      </c>
      <c r="F28">
        <v>507</v>
      </c>
      <c r="H28" t="s">
        <v>6</v>
      </c>
      <c r="I28">
        <f t="shared" si="10"/>
        <v>2.9011764705882355</v>
      </c>
      <c r="J28">
        <f t="shared" si="10"/>
        <v>2.7661469933184857</v>
      </c>
      <c r="K28">
        <f t="shared" si="10"/>
        <v>2.461693548387097</v>
      </c>
      <c r="L28">
        <f t="shared" si="10"/>
        <v>2.2517985611510793</v>
      </c>
      <c r="M28">
        <f t="shared" si="10"/>
        <v>2.3826429980276136</v>
      </c>
      <c r="N28">
        <f t="shared" si="11"/>
        <v>2.5526917142945025</v>
      </c>
      <c r="O28">
        <f t="shared" si="12"/>
        <v>0.24279155801774865</v>
      </c>
    </row>
    <row r="29" spans="1:15" x14ac:dyDescent="0.25">
      <c r="A29" t="s">
        <v>7</v>
      </c>
      <c r="B29">
        <v>543</v>
      </c>
      <c r="C29">
        <v>789</v>
      </c>
      <c r="D29">
        <v>673</v>
      </c>
      <c r="E29">
        <v>757</v>
      </c>
      <c r="F29">
        <v>728</v>
      </c>
      <c r="H29" t="s">
        <v>7</v>
      </c>
      <c r="I29">
        <f t="shared" si="10"/>
        <v>3.7034990791896871</v>
      </c>
      <c r="J29">
        <f t="shared" si="10"/>
        <v>2.461343472750317</v>
      </c>
      <c r="K29">
        <f t="shared" si="10"/>
        <v>2.8781575037147102</v>
      </c>
      <c r="L29">
        <f t="shared" si="10"/>
        <v>2.4491413474240424</v>
      </c>
      <c r="M29">
        <f t="shared" si="10"/>
        <v>2.6538461538461537</v>
      </c>
      <c r="N29">
        <f t="shared" si="11"/>
        <v>2.8291975113849821</v>
      </c>
      <c r="O29">
        <f t="shared" si="12"/>
        <v>0.4641783477091414</v>
      </c>
    </row>
    <row r="30" spans="1:15" x14ac:dyDescent="0.25">
      <c r="A30" t="s">
        <v>8</v>
      </c>
      <c r="B30">
        <v>1772</v>
      </c>
      <c r="C30">
        <v>1859</v>
      </c>
      <c r="D30">
        <v>1872</v>
      </c>
      <c r="E30">
        <v>1943</v>
      </c>
      <c r="F30">
        <v>1946</v>
      </c>
      <c r="H30" t="s">
        <v>8</v>
      </c>
      <c r="I30">
        <f t="shared" si="10"/>
        <v>4.1715575620767495</v>
      </c>
      <c r="J30">
        <f t="shared" si="10"/>
        <v>4.1360946745562126</v>
      </c>
      <c r="K30">
        <f t="shared" si="10"/>
        <v>4.1057692307692308</v>
      </c>
      <c r="L30">
        <f t="shared" si="10"/>
        <v>3.7318579516212043</v>
      </c>
      <c r="M30">
        <f t="shared" si="10"/>
        <v>3.9552929085303186</v>
      </c>
      <c r="N30">
        <f t="shared" si="11"/>
        <v>4.0201144655107424</v>
      </c>
      <c r="O30">
        <f t="shared" si="12"/>
        <v>0.16187452625310414</v>
      </c>
    </row>
    <row r="31" spans="1:15" x14ac:dyDescent="0.25">
      <c r="A31" t="s">
        <v>9</v>
      </c>
      <c r="B31">
        <v>4630</v>
      </c>
      <c r="C31">
        <v>4236</v>
      </c>
      <c r="D31">
        <v>3512</v>
      </c>
      <c r="E31">
        <v>4728</v>
      </c>
      <c r="F31">
        <v>4471</v>
      </c>
      <c r="H31" t="s">
        <v>9</v>
      </c>
      <c r="I31">
        <f t="shared" si="10"/>
        <v>2.836501079913607</v>
      </c>
      <c r="J31">
        <f t="shared" si="10"/>
        <v>3.2296978281397544</v>
      </c>
      <c r="K31">
        <f t="shared" si="10"/>
        <v>3.8097949886104785</v>
      </c>
      <c r="L31">
        <f t="shared" si="10"/>
        <v>2.6129441624365484</v>
      </c>
      <c r="M31">
        <f t="shared" si="10"/>
        <v>2.7702974726012077</v>
      </c>
      <c r="N31">
        <f t="shared" si="11"/>
        <v>3.0518471063403192</v>
      </c>
      <c r="O31">
        <f t="shared" si="12"/>
        <v>0.42997576048103237</v>
      </c>
    </row>
    <row r="33" spans="1:5" x14ac:dyDescent="0.25">
      <c r="A33" t="s">
        <v>19</v>
      </c>
      <c r="C33" t="s">
        <v>20</v>
      </c>
      <c r="E33">
        <v>36758</v>
      </c>
    </row>
    <row r="35" spans="1:5" x14ac:dyDescent="0.25">
      <c r="A35" t="s">
        <v>11</v>
      </c>
    </row>
    <row r="36" spans="1:5" x14ac:dyDescent="0.25">
      <c r="A36" t="s">
        <v>21</v>
      </c>
      <c r="B36" t="s">
        <v>22</v>
      </c>
      <c r="C36" t="s">
        <v>23</v>
      </c>
    </row>
    <row r="37" spans="1:5" x14ac:dyDescent="0.25">
      <c r="A37">
        <v>2</v>
      </c>
      <c r="B37">
        <v>21478</v>
      </c>
      <c r="C37">
        <f>E33/B37</f>
        <v>1.7114256448458889</v>
      </c>
    </row>
    <row r="38" spans="1:5" x14ac:dyDescent="0.25">
      <c r="A38">
        <v>4</v>
      </c>
      <c r="B38">
        <v>12554</v>
      </c>
      <c r="C38">
        <f>E33/B38</f>
        <v>2.9279910785407042</v>
      </c>
    </row>
    <row r="39" spans="1:5" x14ac:dyDescent="0.25">
      <c r="A39">
        <v>6</v>
      </c>
      <c r="B39">
        <v>13874</v>
      </c>
      <c r="C39">
        <f>E33/B39</f>
        <v>2.6494161741386768</v>
      </c>
    </row>
    <row r="40" spans="1:5" x14ac:dyDescent="0.25">
      <c r="A40">
        <v>8</v>
      </c>
      <c r="B40">
        <v>14027</v>
      </c>
      <c r="C40">
        <f>E33/B40</f>
        <v>2.6205175732515862</v>
      </c>
    </row>
    <row r="42" spans="1:5" x14ac:dyDescent="0.25">
      <c r="A42" t="s">
        <v>15</v>
      </c>
    </row>
    <row r="43" spans="1:5" x14ac:dyDescent="0.25">
      <c r="A43" t="s">
        <v>21</v>
      </c>
      <c r="B43" t="s">
        <v>22</v>
      </c>
      <c r="C43" t="s">
        <v>23</v>
      </c>
    </row>
    <row r="44" spans="1:5" x14ac:dyDescent="0.25">
      <c r="A44">
        <v>2</v>
      </c>
      <c r="B44">
        <v>22275</v>
      </c>
      <c r="C44">
        <f>E33/B44</f>
        <v>1.6501907968574636</v>
      </c>
    </row>
    <row r="45" spans="1:5" x14ac:dyDescent="0.25">
      <c r="A45">
        <v>4</v>
      </c>
      <c r="B45">
        <v>15940</v>
      </c>
      <c r="C45">
        <f>E33/B45</f>
        <v>2.306022584692597</v>
      </c>
    </row>
    <row r="46" spans="1:5" x14ac:dyDescent="0.25">
      <c r="A46">
        <v>6</v>
      </c>
      <c r="B46">
        <v>14747</v>
      </c>
      <c r="C46">
        <f>E33/B46</f>
        <v>2.4925747609683326</v>
      </c>
    </row>
    <row r="47" spans="1:5" x14ac:dyDescent="0.25">
      <c r="A47">
        <v>8</v>
      </c>
      <c r="B47">
        <v>13391</v>
      </c>
      <c r="C47">
        <f>E33/B47</f>
        <v>2.7449779702785455</v>
      </c>
    </row>
    <row r="49" spans="1:8" x14ac:dyDescent="0.25">
      <c r="A49" t="s">
        <v>17</v>
      </c>
    </row>
    <row r="50" spans="1:8" x14ac:dyDescent="0.25">
      <c r="A50" t="s">
        <v>21</v>
      </c>
      <c r="B50" t="s">
        <v>22</v>
      </c>
      <c r="C50" t="s">
        <v>23</v>
      </c>
    </row>
    <row r="51" spans="1:8" x14ac:dyDescent="0.25">
      <c r="A51">
        <v>2</v>
      </c>
      <c r="B51">
        <v>21585</v>
      </c>
      <c r="C51">
        <f>E33/B51</f>
        <v>1.7029418577716007</v>
      </c>
    </row>
    <row r="52" spans="1:8" x14ac:dyDescent="0.25">
      <c r="A52">
        <v>4</v>
      </c>
      <c r="B52">
        <v>14080</v>
      </c>
      <c r="C52">
        <f>E33/B52</f>
        <v>2.6106534090909093</v>
      </c>
    </row>
    <row r="53" spans="1:8" x14ac:dyDescent="0.25">
      <c r="A53">
        <v>6</v>
      </c>
      <c r="B53">
        <v>10286</v>
      </c>
      <c r="C53">
        <f>E33/B53</f>
        <v>3.5735951779117245</v>
      </c>
    </row>
    <row r="54" spans="1:8" x14ac:dyDescent="0.25">
      <c r="A54">
        <v>8</v>
      </c>
      <c r="B54">
        <v>10248</v>
      </c>
      <c r="C54">
        <f>E33/B54</f>
        <v>3.5868462138953943</v>
      </c>
    </row>
    <row r="56" spans="1:8" x14ac:dyDescent="0.25">
      <c r="A56" t="s">
        <v>24</v>
      </c>
    </row>
    <row r="57" spans="1:8" x14ac:dyDescent="0.25">
      <c r="A57" t="s">
        <v>4</v>
      </c>
      <c r="B57">
        <v>731</v>
      </c>
      <c r="C57">
        <v>812</v>
      </c>
      <c r="D57">
        <v>792</v>
      </c>
      <c r="E57">
        <v>781</v>
      </c>
      <c r="F57">
        <v>782</v>
      </c>
      <c r="G57" t="s">
        <v>25</v>
      </c>
    </row>
    <row r="58" spans="1:8" x14ac:dyDescent="0.25">
      <c r="A58" t="s">
        <v>5</v>
      </c>
      <c r="B58">
        <v>3185</v>
      </c>
      <c r="C58">
        <v>3242</v>
      </c>
      <c r="D58">
        <v>3229</v>
      </c>
      <c r="E58">
        <v>3259</v>
      </c>
      <c r="F58">
        <v>3241</v>
      </c>
      <c r="G58" t="s">
        <v>26</v>
      </c>
    </row>
    <row r="59" spans="1:8" x14ac:dyDescent="0.25">
      <c r="A59" t="s">
        <v>6</v>
      </c>
      <c r="B59">
        <v>15078</v>
      </c>
      <c r="C59">
        <v>14916</v>
      </c>
      <c r="D59">
        <v>15021</v>
      </c>
      <c r="E59">
        <v>14956</v>
      </c>
      <c r="F59">
        <v>14826</v>
      </c>
      <c r="G59" t="s">
        <v>27</v>
      </c>
    </row>
    <row r="60" spans="1:8" x14ac:dyDescent="0.25">
      <c r="A60" t="s">
        <v>7</v>
      </c>
      <c r="B60">
        <v>18874</v>
      </c>
      <c r="C60">
        <v>17483</v>
      </c>
      <c r="D60">
        <v>17583</v>
      </c>
      <c r="E60">
        <v>18867</v>
      </c>
      <c r="F60">
        <v>17501</v>
      </c>
      <c r="G60" t="s">
        <v>28</v>
      </c>
    </row>
    <row r="61" spans="1:8" x14ac:dyDescent="0.25">
      <c r="A61" t="s">
        <v>8</v>
      </c>
      <c r="B61">
        <v>59173</v>
      </c>
      <c r="C61">
        <v>58179</v>
      </c>
      <c r="D61">
        <v>58433</v>
      </c>
      <c r="E61">
        <v>59070</v>
      </c>
      <c r="F61">
        <v>58246</v>
      </c>
      <c r="G61" t="s">
        <v>27</v>
      </c>
    </row>
    <row r="62" spans="1:8" x14ac:dyDescent="0.25">
      <c r="A62" t="s">
        <v>9</v>
      </c>
      <c r="B62">
        <v>91238</v>
      </c>
      <c r="C62">
        <v>95486</v>
      </c>
      <c r="D62">
        <v>95165</v>
      </c>
      <c r="E62">
        <v>91863</v>
      </c>
      <c r="F62">
        <v>95779</v>
      </c>
      <c r="G62" t="s">
        <v>29</v>
      </c>
    </row>
    <row r="64" spans="1:8" x14ac:dyDescent="0.25">
      <c r="A64" t="s">
        <v>30</v>
      </c>
      <c r="G64" t="s">
        <v>13</v>
      </c>
      <c r="H64" t="s">
        <v>31</v>
      </c>
    </row>
    <row r="65" spans="1:21" x14ac:dyDescent="0.25">
      <c r="A65" t="s">
        <v>4</v>
      </c>
      <c r="B65">
        <f>J2/B57</f>
        <v>0.32968536251709984</v>
      </c>
      <c r="C65">
        <f t="shared" ref="C65:F65" si="13">K2/C57</f>
        <v>0.29679802955665024</v>
      </c>
      <c r="D65">
        <f t="shared" si="13"/>
        <v>0.29292929292929293</v>
      </c>
      <c r="E65">
        <f t="shared" si="13"/>
        <v>0.24583866837387963</v>
      </c>
      <c r="F65">
        <f t="shared" si="13"/>
        <v>0.27749360613810742</v>
      </c>
      <c r="G65">
        <f>AVERAGE(B65:F65)</f>
        <v>0.28854899190300604</v>
      </c>
      <c r="H65">
        <f>_xlfn.STDEV.P(B65:F65)</f>
        <v>2.7297721285724868E-2</v>
      </c>
    </row>
    <row r="66" spans="1:21" x14ac:dyDescent="0.25">
      <c r="A66" t="s">
        <v>5</v>
      </c>
      <c r="B66">
        <f t="shared" ref="B66:B70" si="14">J3/B58</f>
        <v>1.6744113029827317</v>
      </c>
      <c r="C66">
        <f t="shared" ref="C66:C70" si="15">K3/C58</f>
        <v>1.6403454657618755</v>
      </c>
      <c r="D66">
        <f t="shared" ref="D66:D70" si="16">L3/D58</f>
        <v>1.6107153917621555</v>
      </c>
      <c r="E66">
        <f t="shared" ref="E66:E70" si="17">M3/E58</f>
        <v>1.5943540963485732</v>
      </c>
      <c r="F66">
        <f t="shared" ref="F66:F70" si="18">N3/F58</f>
        <v>1.6069114470842332</v>
      </c>
      <c r="G66">
        <f t="shared" ref="G66:G70" si="19">AVERAGE(B66:F66)</f>
        <v>1.6253475407879137</v>
      </c>
      <c r="H66">
        <f t="shared" ref="H66:H70" si="20">_xlfn.STDEV.P(B66:F66)</f>
        <v>2.8798518880704987E-2</v>
      </c>
    </row>
    <row r="67" spans="1:21" x14ac:dyDescent="0.25">
      <c r="A67" t="s">
        <v>6</v>
      </c>
      <c r="B67">
        <f t="shared" si="14"/>
        <v>3.0865499403103862</v>
      </c>
      <c r="C67">
        <f t="shared" si="15"/>
        <v>3.1381737731295254</v>
      </c>
      <c r="D67">
        <f t="shared" si="16"/>
        <v>3.0841488582650953</v>
      </c>
      <c r="E67">
        <f t="shared" si="17"/>
        <v>3.2415084247124901</v>
      </c>
      <c r="F67">
        <f t="shared" si="18"/>
        <v>3.242884122487522</v>
      </c>
      <c r="G67">
        <f t="shared" si="19"/>
        <v>3.158653023781004</v>
      </c>
      <c r="H67">
        <f t="shared" si="20"/>
        <v>7.0892905830221647E-2</v>
      </c>
    </row>
    <row r="68" spans="1:21" x14ac:dyDescent="0.25">
      <c r="A68" t="s">
        <v>7</v>
      </c>
      <c r="B68">
        <f t="shared" si="14"/>
        <v>3.4530041326692804</v>
      </c>
      <c r="C68">
        <f t="shared" si="15"/>
        <v>3.7400331750843678</v>
      </c>
      <c r="D68">
        <f t="shared" si="16"/>
        <v>3.756981174998578</v>
      </c>
      <c r="E68">
        <f t="shared" si="17"/>
        <v>3.4885779403190758</v>
      </c>
      <c r="F68">
        <f t="shared" si="18"/>
        <v>3.88720644534598</v>
      </c>
      <c r="G68">
        <f t="shared" si="19"/>
        <v>3.6651605736834569</v>
      </c>
      <c r="H68">
        <f t="shared" si="20"/>
        <v>0.16705273434366824</v>
      </c>
    </row>
    <row r="69" spans="1:21" x14ac:dyDescent="0.25">
      <c r="A69" t="s">
        <v>8</v>
      </c>
      <c r="B69">
        <f t="shared" si="14"/>
        <v>4.3108343332263024</v>
      </c>
      <c r="C69">
        <f t="shared" si="15"/>
        <v>4.2779869024905892</v>
      </c>
      <c r="D69">
        <f t="shared" si="16"/>
        <v>4.3206749610665209</v>
      </c>
      <c r="E69">
        <f t="shared" si="17"/>
        <v>3.8732012866091079</v>
      </c>
      <c r="F69">
        <f t="shared" si="18"/>
        <v>4.228462040311781</v>
      </c>
      <c r="G69">
        <f t="shared" si="19"/>
        <v>4.2022319047408603</v>
      </c>
      <c r="H69">
        <f t="shared" si="20"/>
        <v>0.16763724671384495</v>
      </c>
    </row>
    <row r="70" spans="1:21" x14ac:dyDescent="0.25">
      <c r="A70" t="s">
        <v>9</v>
      </c>
      <c r="B70">
        <f t="shared" si="14"/>
        <v>2.7832701286744559</v>
      </c>
      <c r="C70">
        <f t="shared" si="15"/>
        <v>2.6456862786167608</v>
      </c>
      <c r="D70">
        <f t="shared" si="16"/>
        <v>2.6572584458571953</v>
      </c>
      <c r="E70">
        <f t="shared" si="17"/>
        <v>2.7974483742094205</v>
      </c>
      <c r="F70">
        <f t="shared" si="18"/>
        <v>2.7893170736800341</v>
      </c>
      <c r="G70">
        <f t="shared" si="19"/>
        <v>2.7345960602075734</v>
      </c>
      <c r="H70">
        <f t="shared" si="20"/>
        <v>6.8117579945110487E-2</v>
      </c>
      <c r="R70" t="s">
        <v>32</v>
      </c>
    </row>
    <row r="71" spans="1:21" x14ac:dyDescent="0.25">
      <c r="Q71" t="s">
        <v>33</v>
      </c>
      <c r="R71" t="s">
        <v>34</v>
      </c>
      <c r="S71" t="s">
        <v>20</v>
      </c>
      <c r="T71" t="s">
        <v>35</v>
      </c>
      <c r="U71" t="s">
        <v>23</v>
      </c>
    </row>
    <row r="72" spans="1:21" x14ac:dyDescent="0.25">
      <c r="R72">
        <v>1</v>
      </c>
      <c r="S72">
        <v>36758</v>
      </c>
      <c r="T72">
        <v>13605</v>
      </c>
      <c r="U72">
        <f t="shared" ref="U72:U73" si="21">S72/T72</f>
        <v>2.701800808526277</v>
      </c>
    </row>
    <row r="73" spans="1:21" x14ac:dyDescent="0.25">
      <c r="A73" t="s">
        <v>36</v>
      </c>
      <c r="R73">
        <v>2</v>
      </c>
      <c r="S73">
        <v>36758</v>
      </c>
      <c r="T73">
        <v>12658</v>
      </c>
      <c r="U73">
        <f t="shared" si="21"/>
        <v>2.9039342708168747</v>
      </c>
    </row>
    <row r="74" spans="1:21" x14ac:dyDescent="0.25">
      <c r="A74" t="s">
        <v>7</v>
      </c>
      <c r="C74" t="s">
        <v>23</v>
      </c>
      <c r="R74">
        <v>5</v>
      </c>
      <c r="S74">
        <v>36758</v>
      </c>
      <c r="T74">
        <v>14694</v>
      </c>
      <c r="U74">
        <f>S74/T74</f>
        <v>2.5015652647339048</v>
      </c>
    </row>
    <row r="75" spans="1:21" x14ac:dyDescent="0.25">
      <c r="A75">
        <v>2</v>
      </c>
      <c r="B75">
        <v>76516</v>
      </c>
      <c r="C75">
        <f>J5/B75</f>
        <v>0.85174342621151133</v>
      </c>
      <c r="R75">
        <v>10</v>
      </c>
      <c r="S75">
        <v>36758</v>
      </c>
      <c r="T75">
        <v>20484</v>
      </c>
      <c r="U75">
        <f>S75/T75</f>
        <v>1.7944737355985159</v>
      </c>
    </row>
    <row r="76" spans="1:21" x14ac:dyDescent="0.25">
      <c r="A76">
        <v>4</v>
      </c>
      <c r="B76">
        <v>35198</v>
      </c>
      <c r="C76">
        <f>J5/B76</f>
        <v>1.8515824762770612</v>
      </c>
      <c r="R76">
        <v>12</v>
      </c>
      <c r="S76">
        <v>36758</v>
      </c>
      <c r="T76">
        <v>20286</v>
      </c>
      <c r="U76">
        <f>S76/T76</f>
        <v>1.8119885635413586</v>
      </c>
    </row>
    <row r="77" spans="1:21" x14ac:dyDescent="0.25">
      <c r="A77">
        <v>6</v>
      </c>
      <c r="B77">
        <v>21238</v>
      </c>
      <c r="C77">
        <f>J5/B77</f>
        <v>3.068650532065166</v>
      </c>
    </row>
    <row r="78" spans="1:21" x14ac:dyDescent="0.25">
      <c r="A78">
        <v>8</v>
      </c>
      <c r="B78">
        <v>19280</v>
      </c>
      <c r="C78">
        <f>J5/B78</f>
        <v>3.3802904564315353</v>
      </c>
      <c r="R78" t="s">
        <v>37</v>
      </c>
    </row>
    <row r="79" spans="1:21" x14ac:dyDescent="0.25">
      <c r="R79">
        <v>1</v>
      </c>
      <c r="S79">
        <v>36758</v>
      </c>
      <c r="T79">
        <v>12590</v>
      </c>
      <c r="U79">
        <f t="shared" ref="U79:U83" si="22">S79/T79</f>
        <v>2.9196187450357427</v>
      </c>
    </row>
    <row r="80" spans="1:21" x14ac:dyDescent="0.25">
      <c r="A80" t="s">
        <v>38</v>
      </c>
      <c r="R80">
        <v>5</v>
      </c>
      <c r="S80">
        <v>36758</v>
      </c>
      <c r="T80">
        <v>12658</v>
      </c>
      <c r="U80">
        <f t="shared" si="22"/>
        <v>2.9039342708168747</v>
      </c>
    </row>
    <row r="81" spans="1:21" x14ac:dyDescent="0.25">
      <c r="A81" t="s">
        <v>4</v>
      </c>
      <c r="B81">
        <f>B2/B57</f>
        <v>3.0095759233926128E-2</v>
      </c>
      <c r="C81">
        <f t="shared" ref="C81:F81" si="23">C2/C57</f>
        <v>2.832512315270936E-2</v>
      </c>
      <c r="D81">
        <f t="shared" si="23"/>
        <v>2.7777777777777776E-2</v>
      </c>
      <c r="E81">
        <f t="shared" si="23"/>
        <v>2.8169014084507043E-2</v>
      </c>
      <c r="F81">
        <f t="shared" si="23"/>
        <v>2.6854219948849106E-2</v>
      </c>
      <c r="R81">
        <v>10</v>
      </c>
      <c r="S81">
        <v>36758</v>
      </c>
      <c r="T81">
        <v>12503</v>
      </c>
      <c r="U81">
        <f t="shared" si="22"/>
        <v>2.9399344157402223</v>
      </c>
    </row>
    <row r="82" spans="1:21" x14ac:dyDescent="0.25">
      <c r="A82" t="s">
        <v>5</v>
      </c>
      <c r="B82">
        <f t="shared" ref="B82:F82" si="24">B3/B58</f>
        <v>5.7770800627943486E-2</v>
      </c>
      <c r="C82">
        <f t="shared" si="24"/>
        <v>5.7063541024059222E-2</v>
      </c>
      <c r="D82">
        <f t="shared" si="24"/>
        <v>6.5035614741406012E-2</v>
      </c>
      <c r="E82">
        <f t="shared" si="24"/>
        <v>5.6765879104019638E-2</v>
      </c>
      <c r="F82">
        <f t="shared" si="24"/>
        <v>5.9858068497377355E-2</v>
      </c>
      <c r="R82">
        <v>15</v>
      </c>
      <c r="S82">
        <v>36758</v>
      </c>
      <c r="T82">
        <v>12807</v>
      </c>
      <c r="U82">
        <f t="shared" si="22"/>
        <v>2.8701491371905989</v>
      </c>
    </row>
    <row r="83" spans="1:21" x14ac:dyDescent="0.25">
      <c r="A83" t="s">
        <v>6</v>
      </c>
      <c r="B83">
        <f t="shared" ref="B83:F83" si="25">B4/B59</f>
        <v>8.1774771189812967E-2</v>
      </c>
      <c r="C83">
        <f t="shared" si="25"/>
        <v>8.3266291230893005E-2</v>
      </c>
      <c r="D83">
        <f t="shared" si="25"/>
        <v>8.1286199320950672E-2</v>
      </c>
      <c r="E83">
        <f t="shared" si="25"/>
        <v>8.3712222519390214E-2</v>
      </c>
      <c r="F83">
        <f t="shared" si="25"/>
        <v>8.1478483744772692E-2</v>
      </c>
      <c r="R83">
        <v>20</v>
      </c>
      <c r="S83">
        <v>36758</v>
      </c>
      <c r="T83">
        <v>12039</v>
      </c>
      <c r="U83">
        <f t="shared" si="22"/>
        <v>3.0532436248857877</v>
      </c>
    </row>
    <row r="84" spans="1:21" x14ac:dyDescent="0.25">
      <c r="A84" t="s">
        <v>7</v>
      </c>
      <c r="B84">
        <f t="shared" ref="B84:F84" si="26">B5/B60</f>
        <v>0.10654869132139451</v>
      </c>
      <c r="C84">
        <f t="shared" si="26"/>
        <v>0.11107933421037579</v>
      </c>
      <c r="D84">
        <f t="shared" si="26"/>
        <v>0.11016322584314395</v>
      </c>
      <c r="E84">
        <f t="shared" si="26"/>
        <v>9.8266815073938626E-2</v>
      </c>
      <c r="F84">
        <f t="shared" si="26"/>
        <v>0.11039369178904063</v>
      </c>
    </row>
    <row r="85" spans="1:21" x14ac:dyDescent="0.25">
      <c r="A85" t="s">
        <v>8</v>
      </c>
      <c r="B85">
        <f t="shared" ref="B85:F85" si="27">B6/B61</f>
        <v>0.12492183935240735</v>
      </c>
      <c r="C85">
        <f t="shared" si="27"/>
        <v>0.13216108905275098</v>
      </c>
      <c r="D85">
        <f t="shared" si="27"/>
        <v>0.13153526260845755</v>
      </c>
      <c r="E85">
        <f t="shared" si="27"/>
        <v>0.12275266632808532</v>
      </c>
      <c r="F85">
        <f t="shared" si="27"/>
        <v>0.13214641348762146</v>
      </c>
      <c r="R85" t="s">
        <v>39</v>
      </c>
    </row>
    <row r="86" spans="1:21" x14ac:dyDescent="0.25">
      <c r="A86" t="s">
        <v>9</v>
      </c>
      <c r="B86">
        <f t="shared" ref="B86:F86" si="28">B7/B62</f>
        <v>0.14394221705868168</v>
      </c>
      <c r="C86">
        <f t="shared" si="28"/>
        <v>0.14327754854114738</v>
      </c>
      <c r="D86">
        <f t="shared" si="28"/>
        <v>0.14059790889507698</v>
      </c>
      <c r="E86">
        <f t="shared" si="28"/>
        <v>0.13448287123216093</v>
      </c>
      <c r="F86">
        <f t="shared" si="28"/>
        <v>0.12931853537831883</v>
      </c>
      <c r="R86">
        <v>1</v>
      </c>
      <c r="S86">
        <v>166891</v>
      </c>
      <c r="T86">
        <v>47543</v>
      </c>
      <c r="U86">
        <f>S86/T86</f>
        <v>3.5103169762110089</v>
      </c>
    </row>
    <row r="87" spans="1:21" x14ac:dyDescent="0.25">
      <c r="R87">
        <v>5</v>
      </c>
      <c r="S87">
        <v>166891</v>
      </c>
      <c r="T87">
        <v>47153</v>
      </c>
      <c r="U87">
        <f t="shared" ref="U87:U90" si="29">S87/T87</f>
        <v>3.5393506245625943</v>
      </c>
    </row>
    <row r="88" spans="1:21" x14ac:dyDescent="0.25">
      <c r="R88">
        <v>10</v>
      </c>
      <c r="S88">
        <v>166891</v>
      </c>
      <c r="T88">
        <v>44235</v>
      </c>
      <c r="U88">
        <f t="shared" si="29"/>
        <v>3.7728269469876796</v>
      </c>
    </row>
    <row r="89" spans="1:21" x14ac:dyDescent="0.25">
      <c r="R89">
        <v>15</v>
      </c>
      <c r="S89">
        <v>166891</v>
      </c>
      <c r="T89">
        <v>40133</v>
      </c>
      <c r="U89">
        <f t="shared" si="29"/>
        <v>4.1584481598684375</v>
      </c>
    </row>
    <row r="90" spans="1:21" x14ac:dyDescent="0.25">
      <c r="R90">
        <v>20</v>
      </c>
      <c r="S90">
        <v>166891</v>
      </c>
      <c r="T90">
        <v>45886</v>
      </c>
      <c r="U90">
        <f t="shared" si="29"/>
        <v>3.6370788475787821</v>
      </c>
    </row>
    <row r="92" spans="1:21" x14ac:dyDescent="0.25">
      <c r="R92" t="s">
        <v>40</v>
      </c>
    </row>
    <row r="93" spans="1:21" x14ac:dyDescent="0.25">
      <c r="R93" t="s">
        <v>34</v>
      </c>
      <c r="S93" t="s">
        <v>20</v>
      </c>
      <c r="T93" t="s">
        <v>35</v>
      </c>
      <c r="U93" t="s">
        <v>23</v>
      </c>
    </row>
    <row r="94" spans="1:21" x14ac:dyDescent="0.25">
      <c r="R94">
        <v>5</v>
      </c>
      <c r="S94">
        <v>166891</v>
      </c>
      <c r="T94">
        <v>37570</v>
      </c>
      <c r="U94">
        <f>S94/T94</f>
        <v>4.4421346819270697</v>
      </c>
    </row>
    <row r="95" spans="1:21" x14ac:dyDescent="0.25">
      <c r="R95">
        <v>10</v>
      </c>
      <c r="S95">
        <v>166891</v>
      </c>
      <c r="T95">
        <v>41312</v>
      </c>
      <c r="U95">
        <f>S95/T95</f>
        <v>4.03977052672347</v>
      </c>
    </row>
    <row r="96" spans="1:21" x14ac:dyDescent="0.25">
      <c r="R96">
        <v>15</v>
      </c>
      <c r="S96">
        <v>166891</v>
      </c>
      <c r="T96">
        <v>53662</v>
      </c>
      <c r="U96">
        <f>S96/T96</f>
        <v>3.1100406246505909</v>
      </c>
    </row>
    <row r="97" spans="18:21" x14ac:dyDescent="0.25">
      <c r="R97">
        <v>20</v>
      </c>
      <c r="S97">
        <v>166891</v>
      </c>
      <c r="T97">
        <v>62343</v>
      </c>
      <c r="U97">
        <f>S97/T97</f>
        <v>2.6769805752049147</v>
      </c>
    </row>
    <row r="98" spans="18:21" x14ac:dyDescent="0.25">
      <c r="R98">
        <v>25</v>
      </c>
      <c r="S98">
        <v>166891</v>
      </c>
      <c r="T98">
        <v>66929</v>
      </c>
      <c r="U98">
        <f>S98/T98</f>
        <v>2.4935528694586799</v>
      </c>
    </row>
  </sheetData>
  <pageMargins left="0.7" right="0.7" top="0.75" bottom="0.75" header="0.3" footer="0.3"/>
  <ignoredErrors>
    <ignoredError sqref="C38" formula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2"/>
  <sheetViews>
    <sheetView tabSelected="1" workbookViewId="0">
      <selection activeCell="X85" sqref="X85"/>
    </sheetView>
  </sheetViews>
  <sheetFormatPr defaultRowHeight="15" x14ac:dyDescent="0.25"/>
  <cols>
    <col min="1" max="1" width="10.7109375" customWidth="1"/>
    <col min="2" max="2" width="15.28515625" customWidth="1"/>
    <col min="3" max="3" width="15.42578125" customWidth="1"/>
    <col min="4" max="4" width="12" customWidth="1"/>
    <col min="5" max="5" width="9.140625" customWidth="1"/>
  </cols>
  <sheetData>
    <row r="1" spans="1:15" x14ac:dyDescent="0.25">
      <c r="A1" t="s">
        <v>0</v>
      </c>
    </row>
    <row r="2" spans="1:15" x14ac:dyDescent="0.25">
      <c r="A2" t="s">
        <v>4</v>
      </c>
      <c r="B2">
        <v>22</v>
      </c>
      <c r="C2">
        <v>23</v>
      </c>
      <c r="D2">
        <v>22</v>
      </c>
      <c r="E2">
        <v>22</v>
      </c>
      <c r="F2">
        <v>21</v>
      </c>
    </row>
    <row r="3" spans="1:15" x14ac:dyDescent="0.25">
      <c r="A3" t="s">
        <v>5</v>
      </c>
      <c r="B3">
        <v>146</v>
      </c>
      <c r="C3">
        <v>139</v>
      </c>
      <c r="D3">
        <v>144</v>
      </c>
      <c r="E3">
        <v>102</v>
      </c>
      <c r="F3">
        <v>149</v>
      </c>
    </row>
    <row r="4" spans="1:15" x14ac:dyDescent="0.25">
      <c r="A4" t="s">
        <v>6</v>
      </c>
      <c r="B4">
        <v>1294</v>
      </c>
      <c r="C4">
        <v>1319</v>
      </c>
      <c r="D4">
        <v>1280</v>
      </c>
      <c r="E4">
        <v>1294</v>
      </c>
      <c r="F4">
        <v>1290</v>
      </c>
    </row>
    <row r="5" spans="1:15" x14ac:dyDescent="0.25">
      <c r="A5" t="s">
        <v>7</v>
      </c>
      <c r="B5">
        <v>2535</v>
      </c>
      <c r="C5">
        <v>2291</v>
      </c>
      <c r="D5">
        <v>2329</v>
      </c>
      <c r="E5">
        <v>2311</v>
      </c>
      <c r="F5">
        <v>2306</v>
      </c>
    </row>
    <row r="6" spans="1:15" x14ac:dyDescent="0.25">
      <c r="A6" t="s">
        <v>8</v>
      </c>
      <c r="B6">
        <v>9392</v>
      </c>
      <c r="C6">
        <v>9306</v>
      </c>
      <c r="D6">
        <v>9302</v>
      </c>
      <c r="E6">
        <v>9384</v>
      </c>
      <c r="F6">
        <v>9287</v>
      </c>
    </row>
    <row r="7" spans="1:15" x14ac:dyDescent="0.25">
      <c r="A7" t="s">
        <v>9</v>
      </c>
      <c r="B7">
        <v>14194</v>
      </c>
      <c r="C7">
        <v>13984</v>
      </c>
      <c r="D7">
        <v>13794</v>
      </c>
      <c r="E7">
        <v>13810</v>
      </c>
      <c r="F7">
        <v>13740</v>
      </c>
    </row>
    <row r="9" spans="1:15" x14ac:dyDescent="0.25">
      <c r="A9" t="s">
        <v>11</v>
      </c>
      <c r="H9" t="s">
        <v>12</v>
      </c>
      <c r="N9" t="s">
        <v>13</v>
      </c>
      <c r="O9" t="s">
        <v>14</v>
      </c>
    </row>
    <row r="10" spans="1:15" x14ac:dyDescent="0.25">
      <c r="A10" t="s">
        <v>4</v>
      </c>
      <c r="B10">
        <v>203</v>
      </c>
      <c r="C10">
        <v>205</v>
      </c>
      <c r="D10">
        <v>203</v>
      </c>
      <c r="E10">
        <v>206</v>
      </c>
      <c r="F10">
        <v>205</v>
      </c>
      <c r="H10" t="s">
        <v>4</v>
      </c>
      <c r="I10">
        <f>B2/B10</f>
        <v>0.10837438423645321</v>
      </c>
      <c r="J10">
        <f t="shared" ref="I10:M15" si="0">C2/C10</f>
        <v>0.11219512195121951</v>
      </c>
      <c r="K10">
        <f t="shared" si="0"/>
        <v>0.10837438423645321</v>
      </c>
      <c r="L10">
        <f t="shared" si="0"/>
        <v>0.10679611650485436</v>
      </c>
      <c r="M10">
        <f t="shared" si="0"/>
        <v>0.1024390243902439</v>
      </c>
      <c r="N10">
        <f>AVERAGE(I10:M10)</f>
        <v>0.10763580626384486</v>
      </c>
      <c r="O10">
        <f>_xlfn.STDEV.P(I10:M10)</f>
        <v>3.1492848430564736E-3</v>
      </c>
    </row>
    <row r="11" spans="1:15" x14ac:dyDescent="0.25">
      <c r="A11" t="s">
        <v>5</v>
      </c>
      <c r="B11">
        <v>206</v>
      </c>
      <c r="C11">
        <v>205</v>
      </c>
      <c r="D11">
        <v>204</v>
      </c>
      <c r="E11">
        <v>204</v>
      </c>
      <c r="F11">
        <v>203</v>
      </c>
      <c r="H11" t="s">
        <v>5</v>
      </c>
      <c r="I11">
        <f t="shared" si="0"/>
        <v>0.70873786407766992</v>
      </c>
      <c r="J11">
        <f t="shared" si="0"/>
        <v>0.67804878048780493</v>
      </c>
      <c r="K11">
        <f t="shared" si="0"/>
        <v>0.70588235294117652</v>
      </c>
      <c r="L11">
        <f t="shared" si="0"/>
        <v>0.5</v>
      </c>
      <c r="M11">
        <f t="shared" si="0"/>
        <v>0.73399014778325122</v>
      </c>
      <c r="N11">
        <f t="shared" ref="N11:N15" si="1">AVERAGE(I11:M11)</f>
        <v>0.6653318290579805</v>
      </c>
      <c r="O11">
        <f t="shared" ref="O11:O15" si="2">_xlfn.STDEV.P(I11:M11)</f>
        <v>8.4544341202517789E-2</v>
      </c>
    </row>
    <row r="12" spans="1:15" x14ac:dyDescent="0.25">
      <c r="A12" t="s">
        <v>6</v>
      </c>
      <c r="B12">
        <v>439</v>
      </c>
      <c r="C12">
        <v>471</v>
      </c>
      <c r="D12">
        <v>445</v>
      </c>
      <c r="E12">
        <v>446</v>
      </c>
      <c r="F12">
        <v>450</v>
      </c>
      <c r="H12" t="s">
        <v>6</v>
      </c>
      <c r="I12">
        <f t="shared" si="0"/>
        <v>2.9476082004555808</v>
      </c>
      <c r="J12">
        <f t="shared" si="0"/>
        <v>2.8004246284501062</v>
      </c>
      <c r="K12">
        <f t="shared" si="0"/>
        <v>2.8764044943820224</v>
      </c>
      <c r="L12">
        <f t="shared" si="0"/>
        <v>2.9013452914798208</v>
      </c>
      <c r="M12">
        <f t="shared" si="0"/>
        <v>2.8666666666666667</v>
      </c>
      <c r="N12">
        <f t="shared" si="1"/>
        <v>2.8784898562868397</v>
      </c>
      <c r="O12">
        <f t="shared" si="2"/>
        <v>4.8037553565432219E-2</v>
      </c>
    </row>
    <row r="13" spans="1:15" x14ac:dyDescent="0.25">
      <c r="A13" t="s">
        <v>7</v>
      </c>
      <c r="B13">
        <v>593</v>
      </c>
      <c r="C13">
        <v>606</v>
      </c>
      <c r="D13">
        <v>605</v>
      </c>
      <c r="E13">
        <v>593</v>
      </c>
      <c r="F13">
        <v>586</v>
      </c>
      <c r="H13" t="s">
        <v>7</v>
      </c>
      <c r="I13">
        <f t="shared" si="0"/>
        <v>4.2748735244519391</v>
      </c>
      <c r="J13">
        <f t="shared" si="0"/>
        <v>3.7805280528052805</v>
      </c>
      <c r="K13">
        <f t="shared" si="0"/>
        <v>3.8495867768595042</v>
      </c>
      <c r="L13">
        <f t="shared" si="0"/>
        <v>3.8971332209106238</v>
      </c>
      <c r="M13">
        <f t="shared" si="0"/>
        <v>3.9351535836177476</v>
      </c>
      <c r="N13">
        <f t="shared" si="1"/>
        <v>3.9474550317290196</v>
      </c>
      <c r="O13">
        <f t="shared" si="2"/>
        <v>0.17165622112258916</v>
      </c>
    </row>
    <row r="14" spans="1:15" x14ac:dyDescent="0.25">
      <c r="A14" t="s">
        <v>8</v>
      </c>
      <c r="B14">
        <v>1968</v>
      </c>
      <c r="C14">
        <v>1968</v>
      </c>
      <c r="D14">
        <v>1953</v>
      </c>
      <c r="E14">
        <v>1973</v>
      </c>
      <c r="F14">
        <v>2003</v>
      </c>
      <c r="H14" t="s">
        <v>8</v>
      </c>
      <c r="I14">
        <f t="shared" si="0"/>
        <v>4.7723577235772359</v>
      </c>
      <c r="J14">
        <f t="shared" si="0"/>
        <v>4.7286585365853657</v>
      </c>
      <c r="K14">
        <f t="shared" si="0"/>
        <v>4.7629288274449566</v>
      </c>
      <c r="L14">
        <f t="shared" si="0"/>
        <v>4.7562088190572736</v>
      </c>
      <c r="M14">
        <f t="shared" si="0"/>
        <v>4.6365451822266603</v>
      </c>
      <c r="N14">
        <f t="shared" si="1"/>
        <v>4.7313398177782986</v>
      </c>
      <c r="O14">
        <f t="shared" si="2"/>
        <v>4.9582282219897578E-2</v>
      </c>
    </row>
    <row r="15" spans="1:15" x14ac:dyDescent="0.25">
      <c r="A15" t="s">
        <v>9</v>
      </c>
      <c r="B15">
        <v>3052</v>
      </c>
      <c r="C15">
        <v>2999</v>
      </c>
      <c r="D15">
        <v>3091</v>
      </c>
      <c r="E15">
        <v>2960</v>
      </c>
      <c r="F15">
        <v>2978</v>
      </c>
      <c r="H15" t="s">
        <v>9</v>
      </c>
      <c r="I15">
        <f>B7/B15</f>
        <v>4.6507208387942329</v>
      </c>
      <c r="J15">
        <f t="shared" si="0"/>
        <v>4.6628876292097363</v>
      </c>
      <c r="K15">
        <f t="shared" si="0"/>
        <v>4.462633451957295</v>
      </c>
      <c r="L15">
        <f t="shared" si="0"/>
        <v>4.6655405405405403</v>
      </c>
      <c r="M15">
        <f t="shared" si="0"/>
        <v>4.6138347884486235</v>
      </c>
      <c r="N15">
        <f t="shared" si="1"/>
        <v>4.6111234497900861</v>
      </c>
      <c r="O15">
        <f t="shared" si="2"/>
        <v>7.6505338462596481E-2</v>
      </c>
    </row>
    <row r="17" spans="1:15" x14ac:dyDescent="0.25">
      <c r="A17" t="s">
        <v>15</v>
      </c>
      <c r="H17" t="s">
        <v>16</v>
      </c>
    </row>
    <row r="18" spans="1:15" x14ac:dyDescent="0.25">
      <c r="A18" t="s">
        <v>4</v>
      </c>
      <c r="B18">
        <v>200</v>
      </c>
      <c r="C18">
        <v>200</v>
      </c>
      <c r="D18">
        <v>201</v>
      </c>
      <c r="E18">
        <v>200</v>
      </c>
      <c r="F18">
        <v>200</v>
      </c>
      <c r="H18" t="s">
        <v>4</v>
      </c>
      <c r="I18">
        <f t="shared" ref="I18:M23" si="3">B2/B18</f>
        <v>0.11</v>
      </c>
      <c r="J18">
        <f t="shared" si="3"/>
        <v>0.115</v>
      </c>
      <c r="K18">
        <f t="shared" si="3"/>
        <v>0.10945273631840796</v>
      </c>
      <c r="L18">
        <f t="shared" si="3"/>
        <v>0.11</v>
      </c>
      <c r="M18">
        <f t="shared" si="3"/>
        <v>0.105</v>
      </c>
      <c r="N18">
        <f t="shared" ref="N18:N23" si="4">AVERAGE(I18:M18)</f>
        <v>0.1098905472636816</v>
      </c>
      <c r="O18">
        <f t="shared" ref="O18:O23" si="5">_xlfn.STDEV.P(I18:M18)</f>
        <v>3.1698453599427155E-3</v>
      </c>
    </row>
    <row r="19" spans="1:15" x14ac:dyDescent="0.25">
      <c r="A19" t="s">
        <v>5</v>
      </c>
      <c r="B19">
        <v>200</v>
      </c>
      <c r="C19">
        <v>201</v>
      </c>
      <c r="D19">
        <v>200</v>
      </c>
      <c r="E19">
        <v>201</v>
      </c>
      <c r="F19">
        <v>200</v>
      </c>
      <c r="H19" t="s">
        <v>5</v>
      </c>
      <c r="I19">
        <f t="shared" si="3"/>
        <v>0.73</v>
      </c>
      <c r="J19">
        <f t="shared" si="3"/>
        <v>0.69154228855721389</v>
      </c>
      <c r="K19">
        <f t="shared" si="3"/>
        <v>0.72</v>
      </c>
      <c r="L19">
        <f t="shared" si="3"/>
        <v>0.5074626865671642</v>
      </c>
      <c r="M19">
        <f t="shared" si="3"/>
        <v>0.745</v>
      </c>
      <c r="N19">
        <f t="shared" si="4"/>
        <v>0.67880099502487568</v>
      </c>
      <c r="O19">
        <f t="shared" si="5"/>
        <v>8.7430155995635792E-2</v>
      </c>
    </row>
    <row r="20" spans="1:15" x14ac:dyDescent="0.25">
      <c r="A20" t="s">
        <v>6</v>
      </c>
      <c r="B20">
        <v>380</v>
      </c>
      <c r="C20">
        <v>362</v>
      </c>
      <c r="D20">
        <v>375</v>
      </c>
      <c r="E20">
        <v>534</v>
      </c>
      <c r="F20">
        <v>372</v>
      </c>
      <c r="H20" t="s">
        <v>6</v>
      </c>
      <c r="I20">
        <f t="shared" si="3"/>
        <v>3.405263157894737</v>
      </c>
      <c r="J20">
        <f t="shared" si="3"/>
        <v>3.6436464088397789</v>
      </c>
      <c r="K20">
        <f t="shared" si="3"/>
        <v>3.4133333333333336</v>
      </c>
      <c r="L20">
        <f t="shared" si="3"/>
        <v>2.4232209737827715</v>
      </c>
      <c r="M20">
        <f t="shared" si="3"/>
        <v>3.467741935483871</v>
      </c>
      <c r="N20">
        <f t="shared" si="4"/>
        <v>3.2706411618668989</v>
      </c>
      <c r="O20">
        <f t="shared" si="5"/>
        <v>0.43233939029761381</v>
      </c>
    </row>
    <row r="21" spans="1:15" x14ac:dyDescent="0.25">
      <c r="A21" t="s">
        <v>7</v>
      </c>
      <c r="B21">
        <v>683</v>
      </c>
      <c r="C21">
        <v>600</v>
      </c>
      <c r="D21">
        <v>639</v>
      </c>
      <c r="E21">
        <v>596</v>
      </c>
      <c r="F21">
        <v>629</v>
      </c>
      <c r="H21" t="s">
        <v>7</v>
      </c>
      <c r="I21">
        <f t="shared" si="3"/>
        <v>3.7115666178623719</v>
      </c>
      <c r="J21">
        <f t="shared" si="3"/>
        <v>3.8183333333333334</v>
      </c>
      <c r="K21">
        <f t="shared" si="3"/>
        <v>3.6447574334898278</v>
      </c>
      <c r="L21">
        <f t="shared" si="3"/>
        <v>3.8775167785234901</v>
      </c>
      <c r="M21">
        <f t="shared" si="3"/>
        <v>3.6661367249602543</v>
      </c>
      <c r="N21">
        <f t="shared" si="4"/>
        <v>3.7436621776338557</v>
      </c>
      <c r="O21">
        <f t="shared" si="5"/>
        <v>8.9794548672295527E-2</v>
      </c>
    </row>
    <row r="22" spans="1:15" x14ac:dyDescent="0.25">
      <c r="A22" t="s">
        <v>8</v>
      </c>
      <c r="B22">
        <v>2217</v>
      </c>
      <c r="C22">
        <v>2421</v>
      </c>
      <c r="D22">
        <v>2361</v>
      </c>
      <c r="E22">
        <v>2665</v>
      </c>
      <c r="F22">
        <v>2797</v>
      </c>
      <c r="H22" t="s">
        <v>8</v>
      </c>
      <c r="I22">
        <f t="shared" si="3"/>
        <v>4.2363554352728912</v>
      </c>
      <c r="J22">
        <f t="shared" si="3"/>
        <v>3.8438661710037176</v>
      </c>
      <c r="K22">
        <f t="shared" si="3"/>
        <v>3.9398559932232105</v>
      </c>
      <c r="L22">
        <f t="shared" si="3"/>
        <v>3.5212007504690432</v>
      </c>
      <c r="M22">
        <f t="shared" si="3"/>
        <v>3.3203432248838043</v>
      </c>
      <c r="N22">
        <f t="shared" si="4"/>
        <v>3.7723243149705334</v>
      </c>
      <c r="O22">
        <f t="shared" si="5"/>
        <v>0.321203963685324</v>
      </c>
    </row>
    <row r="23" spans="1:15" x14ac:dyDescent="0.25">
      <c r="A23" t="s">
        <v>9</v>
      </c>
      <c r="B23">
        <v>3488</v>
      </c>
      <c r="C23">
        <v>4048</v>
      </c>
      <c r="D23">
        <v>3778</v>
      </c>
      <c r="E23">
        <v>3831</v>
      </c>
      <c r="F23">
        <v>3935</v>
      </c>
      <c r="H23" t="s">
        <v>9</v>
      </c>
      <c r="I23">
        <f t="shared" si="3"/>
        <v>4.0693807339449544</v>
      </c>
      <c r="J23">
        <f t="shared" si="3"/>
        <v>3.4545454545454546</v>
      </c>
      <c r="K23">
        <f t="shared" si="3"/>
        <v>3.6511381683430386</v>
      </c>
      <c r="L23">
        <f t="shared" si="3"/>
        <v>3.6048029235186636</v>
      </c>
      <c r="M23">
        <f t="shared" si="3"/>
        <v>3.491740787801779</v>
      </c>
      <c r="N23">
        <f t="shared" si="4"/>
        <v>3.6543216136307777</v>
      </c>
      <c r="O23">
        <f t="shared" si="5"/>
        <v>0.21958112260229537</v>
      </c>
    </row>
    <row r="25" spans="1:15" x14ac:dyDescent="0.25">
      <c r="A25" t="s">
        <v>17</v>
      </c>
      <c r="H25" t="s">
        <v>18</v>
      </c>
    </row>
    <row r="26" spans="1:15" x14ac:dyDescent="0.25">
      <c r="A26" t="s">
        <v>4</v>
      </c>
      <c r="B26">
        <v>200</v>
      </c>
      <c r="C26">
        <v>201</v>
      </c>
      <c r="D26">
        <v>200</v>
      </c>
      <c r="E26">
        <v>200</v>
      </c>
      <c r="F26">
        <v>200</v>
      </c>
      <c r="H26" t="s">
        <v>4</v>
      </c>
      <c r="I26">
        <f t="shared" ref="I26:M31" si="6">B2/B26</f>
        <v>0.11</v>
      </c>
      <c r="J26">
        <f t="shared" si="6"/>
        <v>0.11442786069651742</v>
      </c>
      <c r="K26">
        <f t="shared" si="6"/>
        <v>0.11</v>
      </c>
      <c r="L26">
        <f t="shared" si="6"/>
        <v>0.11</v>
      </c>
      <c r="M26">
        <f t="shared" si="6"/>
        <v>0.105</v>
      </c>
      <c r="N26">
        <f t="shared" ref="N26:N31" si="7">AVERAGE(I26:M26)</f>
        <v>0.10988557213930347</v>
      </c>
      <c r="O26">
        <f t="shared" ref="O26:O31" si="8">_xlfn.STDEV.P(I26:M26)</f>
        <v>2.9846434182744797E-3</v>
      </c>
    </row>
    <row r="27" spans="1:15" x14ac:dyDescent="0.25">
      <c r="A27" t="s">
        <v>5</v>
      </c>
      <c r="B27">
        <v>200</v>
      </c>
      <c r="C27">
        <v>200</v>
      </c>
      <c r="D27">
        <v>200</v>
      </c>
      <c r="E27">
        <v>200</v>
      </c>
      <c r="F27">
        <v>200</v>
      </c>
      <c r="H27" t="s">
        <v>5</v>
      </c>
      <c r="I27">
        <f t="shared" si="6"/>
        <v>0.73</v>
      </c>
      <c r="J27">
        <f t="shared" si="6"/>
        <v>0.69499999999999995</v>
      </c>
      <c r="K27">
        <f t="shared" si="6"/>
        <v>0.72</v>
      </c>
      <c r="L27">
        <f t="shared" si="6"/>
        <v>0.51</v>
      </c>
      <c r="M27">
        <f t="shared" si="6"/>
        <v>0.745</v>
      </c>
      <c r="N27">
        <f t="shared" si="7"/>
        <v>0.67999999999999994</v>
      </c>
      <c r="O27">
        <f t="shared" si="8"/>
        <v>8.6544786093675358E-2</v>
      </c>
    </row>
    <row r="28" spans="1:15" x14ac:dyDescent="0.25">
      <c r="A28" t="s">
        <v>6</v>
      </c>
      <c r="B28">
        <v>449</v>
      </c>
      <c r="C28">
        <v>492</v>
      </c>
      <c r="D28">
        <v>541</v>
      </c>
      <c r="E28">
        <v>481</v>
      </c>
      <c r="F28">
        <v>506</v>
      </c>
      <c r="H28" t="s">
        <v>6</v>
      </c>
      <c r="I28">
        <f t="shared" si="6"/>
        <v>2.8819599109131402</v>
      </c>
      <c r="J28">
        <f t="shared" si="6"/>
        <v>2.6808943089430892</v>
      </c>
      <c r="K28">
        <f t="shared" si="6"/>
        <v>2.3659889094269873</v>
      </c>
      <c r="L28">
        <f t="shared" si="6"/>
        <v>2.69022869022869</v>
      </c>
      <c r="M28">
        <f t="shared" si="6"/>
        <v>2.5494071146245059</v>
      </c>
      <c r="N28">
        <f t="shared" si="7"/>
        <v>2.6336957868272823</v>
      </c>
      <c r="O28">
        <f t="shared" si="8"/>
        <v>0.17078073511620165</v>
      </c>
    </row>
    <row r="29" spans="1:15" x14ac:dyDescent="0.25">
      <c r="A29" t="s">
        <v>7</v>
      </c>
      <c r="B29">
        <v>892</v>
      </c>
      <c r="C29">
        <v>1061</v>
      </c>
      <c r="D29">
        <v>975</v>
      </c>
      <c r="E29">
        <v>998</v>
      </c>
      <c r="F29">
        <v>871</v>
      </c>
      <c r="H29" t="s">
        <v>7</v>
      </c>
      <c r="I29">
        <f t="shared" si="6"/>
        <v>2.8419282511210762</v>
      </c>
      <c r="J29">
        <f t="shared" si="6"/>
        <v>2.1592836946277099</v>
      </c>
      <c r="K29">
        <f t="shared" si="6"/>
        <v>2.3887179487179488</v>
      </c>
      <c r="L29">
        <f t="shared" si="6"/>
        <v>2.3156312625250499</v>
      </c>
      <c r="M29">
        <f t="shared" si="6"/>
        <v>2.6475315729047071</v>
      </c>
      <c r="N29">
        <f t="shared" si="7"/>
        <v>2.4706185459792982</v>
      </c>
      <c r="O29">
        <f t="shared" si="8"/>
        <v>0.24365027057600139</v>
      </c>
    </row>
    <row r="30" spans="1:15" x14ac:dyDescent="0.25">
      <c r="A30" t="s">
        <v>8</v>
      </c>
      <c r="B30">
        <v>3293</v>
      </c>
      <c r="C30">
        <v>2998</v>
      </c>
      <c r="D30">
        <v>2875</v>
      </c>
      <c r="E30">
        <v>3106</v>
      </c>
      <c r="F30">
        <v>3138</v>
      </c>
      <c r="H30" t="s">
        <v>8</v>
      </c>
      <c r="I30">
        <f t="shared" si="6"/>
        <v>2.8521105375037958</v>
      </c>
      <c r="J30">
        <f t="shared" si="6"/>
        <v>3.1040693795863907</v>
      </c>
      <c r="K30">
        <f t="shared" si="6"/>
        <v>3.2354782608695651</v>
      </c>
      <c r="L30">
        <f t="shared" si="6"/>
        <v>3.0212491951062459</v>
      </c>
      <c r="M30">
        <f t="shared" si="6"/>
        <v>2.9595283620140216</v>
      </c>
      <c r="N30">
        <f t="shared" si="7"/>
        <v>3.0344871470160042</v>
      </c>
      <c r="O30">
        <f t="shared" si="8"/>
        <v>0.12984175403504183</v>
      </c>
    </row>
    <row r="31" spans="1:15" x14ac:dyDescent="0.25">
      <c r="A31" t="s">
        <v>9</v>
      </c>
      <c r="B31">
        <v>5098</v>
      </c>
      <c r="C31">
        <v>5165</v>
      </c>
      <c r="D31">
        <v>4610</v>
      </c>
      <c r="E31">
        <v>5058</v>
      </c>
      <c r="F31">
        <v>4367</v>
      </c>
      <c r="H31" t="s">
        <v>9</v>
      </c>
      <c r="I31">
        <f t="shared" si="6"/>
        <v>2.7842291094546883</v>
      </c>
      <c r="J31">
        <f t="shared" si="6"/>
        <v>2.7074540174249759</v>
      </c>
      <c r="K31">
        <f t="shared" si="6"/>
        <v>2.9921908893709328</v>
      </c>
      <c r="L31">
        <f t="shared" si="6"/>
        <v>2.730328192961645</v>
      </c>
      <c r="M31">
        <f t="shared" si="6"/>
        <v>3.1463247080375543</v>
      </c>
      <c r="N31">
        <f t="shared" si="7"/>
        <v>2.8721053834499592</v>
      </c>
      <c r="O31">
        <f t="shared" si="8"/>
        <v>0.17002932118756323</v>
      </c>
    </row>
    <row r="33" spans="1:9" x14ac:dyDescent="0.25">
      <c r="A33" t="s">
        <v>19</v>
      </c>
      <c r="C33" t="s">
        <v>20</v>
      </c>
      <c r="E33">
        <v>39665</v>
      </c>
    </row>
    <row r="35" spans="1:9" x14ac:dyDescent="0.25">
      <c r="A35" t="s">
        <v>11</v>
      </c>
    </row>
    <row r="36" spans="1:9" x14ac:dyDescent="0.25">
      <c r="A36" t="s">
        <v>21</v>
      </c>
      <c r="B36" t="s">
        <v>22</v>
      </c>
      <c r="G36" t="s">
        <v>23</v>
      </c>
      <c r="I36" t="s">
        <v>41</v>
      </c>
    </row>
    <row r="37" spans="1:9" x14ac:dyDescent="0.25">
      <c r="A37">
        <v>2</v>
      </c>
      <c r="B37">
        <v>23090</v>
      </c>
      <c r="C37">
        <v>21773</v>
      </c>
      <c r="D37">
        <v>21077</v>
      </c>
      <c r="E37">
        <v>20798</v>
      </c>
      <c r="F37">
        <v>21463</v>
      </c>
      <c r="G37">
        <f>E33/(SUM(B37:F37)/COUNT(B37:F37))</f>
        <v>1.8329313037772295</v>
      </c>
      <c r="I37">
        <f>G37/A37</f>
        <v>0.91646565188861473</v>
      </c>
    </row>
    <row r="38" spans="1:9" x14ac:dyDescent="0.25">
      <c r="A38">
        <v>4</v>
      </c>
      <c r="B38">
        <v>13696</v>
      </c>
      <c r="C38">
        <v>12452</v>
      </c>
      <c r="D38">
        <v>11804</v>
      </c>
      <c r="E38">
        <v>13218</v>
      </c>
      <c r="F38">
        <v>12316</v>
      </c>
      <c r="G38">
        <f>E33/(SUM(B38:F38)/COUNT(B38:F38))</f>
        <v>3.1239170840815298</v>
      </c>
      <c r="I38">
        <f t="shared" ref="I38:I40" si="9">G38/A38</f>
        <v>0.78097927102038245</v>
      </c>
    </row>
    <row r="39" spans="1:9" x14ac:dyDescent="0.25">
      <c r="A39">
        <v>6</v>
      </c>
      <c r="B39">
        <v>11387</v>
      </c>
      <c r="C39">
        <v>10564</v>
      </c>
      <c r="D39">
        <v>10274</v>
      </c>
      <c r="E39">
        <v>10980</v>
      </c>
      <c r="F39">
        <v>10590</v>
      </c>
      <c r="G39">
        <f>E33/(SUM(B39:F39)/COUNT(B39:F39))</f>
        <v>3.6866809183009575</v>
      </c>
      <c r="I39">
        <f t="shared" si="9"/>
        <v>0.61444681971682624</v>
      </c>
    </row>
    <row r="40" spans="1:9" x14ac:dyDescent="0.25">
      <c r="A40">
        <v>8</v>
      </c>
      <c r="B40">
        <v>11371</v>
      </c>
      <c r="C40">
        <v>8919</v>
      </c>
      <c r="D40">
        <v>10395</v>
      </c>
      <c r="E40">
        <v>9028</v>
      </c>
      <c r="F40">
        <v>8936</v>
      </c>
      <c r="G40">
        <f>E33/(SUM(B40:F40)/COUNT(B40:F40))</f>
        <v>4.0766511130752949</v>
      </c>
      <c r="I40">
        <f t="shared" si="9"/>
        <v>0.50958138913441187</v>
      </c>
    </row>
    <row r="42" spans="1:9" x14ac:dyDescent="0.25">
      <c r="A42" t="s">
        <v>15</v>
      </c>
    </row>
    <row r="43" spans="1:9" x14ac:dyDescent="0.25">
      <c r="A43" t="s">
        <v>21</v>
      </c>
      <c r="B43" t="s">
        <v>22</v>
      </c>
      <c r="G43" t="s">
        <v>23</v>
      </c>
      <c r="I43" t="s">
        <v>41</v>
      </c>
    </row>
    <row r="44" spans="1:9" x14ac:dyDescent="0.25">
      <c r="A44">
        <v>2</v>
      </c>
      <c r="B44">
        <v>20787</v>
      </c>
      <c r="C44">
        <v>22520</v>
      </c>
      <c r="D44">
        <v>27165</v>
      </c>
      <c r="E44">
        <v>26121</v>
      </c>
      <c r="F44">
        <v>21485</v>
      </c>
      <c r="G44">
        <f>E33/(SUM(B44:F44)/COUNT(B44:F44))</f>
        <v>1.6796100882467522</v>
      </c>
      <c r="I44">
        <f>G44/A44</f>
        <v>0.83980504412337609</v>
      </c>
    </row>
    <row r="45" spans="1:9" x14ac:dyDescent="0.25">
      <c r="A45">
        <v>4</v>
      </c>
      <c r="B45">
        <v>16021</v>
      </c>
      <c r="C45">
        <v>16486</v>
      </c>
      <c r="D45">
        <v>17049</v>
      </c>
      <c r="E45">
        <v>19466</v>
      </c>
      <c r="F45">
        <v>13961</v>
      </c>
      <c r="G45">
        <f>E33/(SUM(B45:F45)/COUNT(B45:F45))</f>
        <v>2.3899473386115231</v>
      </c>
      <c r="I45">
        <f t="shared" ref="I45:I47" si="10">G45/A45</f>
        <v>0.59748683465288077</v>
      </c>
    </row>
    <row r="46" spans="1:9" x14ac:dyDescent="0.25">
      <c r="A46">
        <v>6</v>
      </c>
      <c r="B46">
        <v>12596</v>
      </c>
      <c r="C46">
        <v>15574</v>
      </c>
      <c r="D46">
        <v>18723</v>
      </c>
      <c r="E46">
        <v>15504</v>
      </c>
      <c r="F46">
        <v>20764</v>
      </c>
      <c r="G46">
        <f>E33/(SUM(B46:F46)/COUNT(B46:F46))</f>
        <v>2.3848318322290494</v>
      </c>
      <c r="I46">
        <f t="shared" si="10"/>
        <v>0.39747197203817491</v>
      </c>
    </row>
    <row r="47" spans="1:9" x14ac:dyDescent="0.25">
      <c r="A47">
        <v>8</v>
      </c>
      <c r="B47">
        <v>13559</v>
      </c>
      <c r="C47">
        <v>13814</v>
      </c>
      <c r="D47">
        <v>10760</v>
      </c>
      <c r="E47">
        <v>14491</v>
      </c>
      <c r="F47">
        <v>13495</v>
      </c>
      <c r="G47">
        <f>E33/(SUM(B47:F47)/COUNT(B47:F47))</f>
        <v>2.9995160241382961</v>
      </c>
      <c r="I47">
        <f t="shared" si="10"/>
        <v>0.37493950301728701</v>
      </c>
    </row>
    <row r="49" spans="1:9" x14ac:dyDescent="0.25">
      <c r="A49" t="s">
        <v>17</v>
      </c>
    </row>
    <row r="50" spans="1:9" x14ac:dyDescent="0.25">
      <c r="A50" t="s">
        <v>21</v>
      </c>
      <c r="B50" t="s">
        <v>22</v>
      </c>
      <c r="G50" t="s">
        <v>23</v>
      </c>
      <c r="I50" t="s">
        <v>41</v>
      </c>
    </row>
    <row r="51" spans="1:9" x14ac:dyDescent="0.25">
      <c r="A51">
        <v>2</v>
      </c>
      <c r="B51">
        <v>21619</v>
      </c>
      <c r="C51">
        <v>21167</v>
      </c>
      <c r="D51">
        <v>21292</v>
      </c>
      <c r="E51">
        <v>23281</v>
      </c>
      <c r="F51">
        <v>21100</v>
      </c>
      <c r="G51">
        <f>E33/(SUM(B51:F51)/COUNT(B51:F51))</f>
        <v>1.8285711651407446</v>
      </c>
      <c r="I51">
        <f>G51/A51</f>
        <v>0.91428558257037229</v>
      </c>
    </row>
    <row r="52" spans="1:9" x14ac:dyDescent="0.25">
      <c r="A52">
        <v>4</v>
      </c>
      <c r="B52">
        <v>15761</v>
      </c>
      <c r="C52">
        <v>15107</v>
      </c>
      <c r="D52">
        <v>13663</v>
      </c>
      <c r="E52">
        <v>16684</v>
      </c>
      <c r="F52">
        <v>14080</v>
      </c>
      <c r="G52">
        <f>E33/(SUM(B52:F52)/COUNT(B52:F52))</f>
        <v>2.6339730393784446</v>
      </c>
      <c r="I52">
        <f t="shared" ref="I52:I54" si="11">G52/A52</f>
        <v>0.65849325984461116</v>
      </c>
    </row>
    <row r="53" spans="1:9" x14ac:dyDescent="0.25">
      <c r="A53">
        <v>6</v>
      </c>
      <c r="B53">
        <v>11672</v>
      </c>
      <c r="C53">
        <v>12761</v>
      </c>
      <c r="D53">
        <v>12461</v>
      </c>
      <c r="E53">
        <v>12714</v>
      </c>
      <c r="F53">
        <v>11374</v>
      </c>
      <c r="G53">
        <f>E33/(SUM(B53:F53)/COUNT(B53:F53))</f>
        <v>3.252189170574924</v>
      </c>
      <c r="I53">
        <f t="shared" si="11"/>
        <v>0.54203152842915403</v>
      </c>
    </row>
    <row r="54" spans="1:9" x14ac:dyDescent="0.25">
      <c r="A54">
        <v>8</v>
      </c>
      <c r="B54">
        <v>11800</v>
      </c>
      <c r="C54">
        <v>10560</v>
      </c>
      <c r="D54">
        <v>10121</v>
      </c>
      <c r="E54">
        <v>11017</v>
      </c>
      <c r="F54">
        <v>10859</v>
      </c>
      <c r="G54">
        <f>E33/(SUM(B54:F54)/COUNT(B54:F54))</f>
        <v>3.6485641223761429</v>
      </c>
      <c r="I54">
        <f t="shared" si="11"/>
        <v>0.45607051529701786</v>
      </c>
    </row>
    <row r="64" spans="1:9" x14ac:dyDescent="0.25">
      <c r="A64" t="s">
        <v>32</v>
      </c>
    </row>
    <row r="65" spans="1:4" x14ac:dyDescent="0.25">
      <c r="A65" t="s">
        <v>34</v>
      </c>
      <c r="B65" t="s">
        <v>20</v>
      </c>
      <c r="C65" t="s">
        <v>35</v>
      </c>
      <c r="D65" t="s">
        <v>23</v>
      </c>
    </row>
    <row r="66" spans="1:4" x14ac:dyDescent="0.25">
      <c r="A66">
        <v>1</v>
      </c>
      <c r="B66">
        <v>36758</v>
      </c>
      <c r="C66">
        <v>13605</v>
      </c>
      <c r="D66">
        <f t="shared" ref="D66:D67" si="12">B66/C66</f>
        <v>2.701800808526277</v>
      </c>
    </row>
    <row r="67" spans="1:4" x14ac:dyDescent="0.25">
      <c r="A67">
        <v>2</v>
      </c>
      <c r="B67">
        <v>36758</v>
      </c>
      <c r="C67">
        <v>12658</v>
      </c>
      <c r="D67">
        <f t="shared" si="12"/>
        <v>2.9039342708168747</v>
      </c>
    </row>
    <row r="68" spans="1:4" x14ac:dyDescent="0.25">
      <c r="A68">
        <v>5</v>
      </c>
      <c r="B68">
        <v>36758</v>
      </c>
      <c r="C68">
        <v>14694</v>
      </c>
      <c r="D68">
        <f>B68/C68</f>
        <v>2.5015652647339048</v>
      </c>
    </row>
    <row r="69" spans="1:4" x14ac:dyDescent="0.25">
      <c r="A69">
        <v>10</v>
      </c>
      <c r="B69">
        <v>36758</v>
      </c>
      <c r="C69">
        <v>20484</v>
      </c>
      <c r="D69">
        <f>B69/C69</f>
        <v>1.7944737355985159</v>
      </c>
    </row>
    <row r="70" spans="1:4" x14ac:dyDescent="0.25">
      <c r="A70">
        <v>12</v>
      </c>
      <c r="B70">
        <v>36758</v>
      </c>
      <c r="C70">
        <v>20286</v>
      </c>
      <c r="D70">
        <f>B70/C70</f>
        <v>1.8119885635413586</v>
      </c>
    </row>
    <row r="72" spans="1:4" x14ac:dyDescent="0.25">
      <c r="A72" t="s">
        <v>37</v>
      </c>
    </row>
    <row r="73" spans="1:4" x14ac:dyDescent="0.25">
      <c r="A73">
        <v>1</v>
      </c>
      <c r="B73">
        <v>36758</v>
      </c>
      <c r="C73">
        <v>12590</v>
      </c>
      <c r="D73">
        <f t="shared" ref="D73:D77" si="13">B73/C73</f>
        <v>2.9196187450357427</v>
      </c>
    </row>
    <row r="74" spans="1:4" x14ac:dyDescent="0.25">
      <c r="A74">
        <v>5</v>
      </c>
      <c r="B74">
        <v>36758</v>
      </c>
      <c r="C74">
        <v>12658</v>
      </c>
      <c r="D74">
        <f t="shared" si="13"/>
        <v>2.9039342708168747</v>
      </c>
    </row>
    <row r="75" spans="1:4" x14ac:dyDescent="0.25">
      <c r="A75">
        <v>10</v>
      </c>
      <c r="B75">
        <v>36758</v>
      </c>
      <c r="C75">
        <v>12503</v>
      </c>
      <c r="D75">
        <f t="shared" si="13"/>
        <v>2.9399344157402223</v>
      </c>
    </row>
    <row r="76" spans="1:4" x14ac:dyDescent="0.25">
      <c r="A76">
        <v>15</v>
      </c>
      <c r="B76">
        <v>36758</v>
      </c>
      <c r="C76">
        <v>12807</v>
      </c>
      <c r="D76">
        <f t="shared" si="13"/>
        <v>2.8701491371905989</v>
      </c>
    </row>
    <row r="77" spans="1:4" x14ac:dyDescent="0.25">
      <c r="A77">
        <v>20</v>
      </c>
      <c r="B77">
        <v>36758</v>
      </c>
      <c r="C77">
        <v>12039</v>
      </c>
      <c r="D77">
        <f t="shared" si="13"/>
        <v>3.0532436248857877</v>
      </c>
    </row>
    <row r="79" spans="1:4" x14ac:dyDescent="0.25">
      <c r="A79" t="s">
        <v>39</v>
      </c>
    </row>
    <row r="80" spans="1:4" x14ac:dyDescent="0.25">
      <c r="A80">
        <v>1</v>
      </c>
      <c r="B80">
        <v>166891</v>
      </c>
      <c r="C80">
        <v>47543</v>
      </c>
      <c r="D80">
        <f>B80/C80</f>
        <v>3.5103169762110089</v>
      </c>
    </row>
    <row r="81" spans="1:4" x14ac:dyDescent="0.25">
      <c r="A81">
        <v>5</v>
      </c>
      <c r="B81">
        <v>166891</v>
      </c>
      <c r="C81">
        <v>47153</v>
      </c>
      <c r="D81">
        <f t="shared" ref="D81:D84" si="14">B81/C81</f>
        <v>3.5393506245625943</v>
      </c>
    </row>
    <row r="82" spans="1:4" x14ac:dyDescent="0.25">
      <c r="A82">
        <v>10</v>
      </c>
      <c r="B82">
        <v>166891</v>
      </c>
      <c r="C82">
        <v>44235</v>
      </c>
      <c r="D82">
        <f t="shared" si="14"/>
        <v>3.7728269469876796</v>
      </c>
    </row>
    <row r="83" spans="1:4" x14ac:dyDescent="0.25">
      <c r="A83">
        <v>15</v>
      </c>
      <c r="B83">
        <v>166891</v>
      </c>
      <c r="C83">
        <v>40133</v>
      </c>
      <c r="D83">
        <f t="shared" si="14"/>
        <v>4.1584481598684375</v>
      </c>
    </row>
    <row r="84" spans="1:4" x14ac:dyDescent="0.25">
      <c r="A84">
        <v>20</v>
      </c>
      <c r="B84">
        <v>166891</v>
      </c>
      <c r="C84">
        <v>45886</v>
      </c>
      <c r="D84">
        <f t="shared" si="14"/>
        <v>3.6370788475787821</v>
      </c>
    </row>
    <row r="86" spans="1:4" x14ac:dyDescent="0.25">
      <c r="A86" t="s">
        <v>40</v>
      </c>
    </row>
    <row r="87" spans="1:4" x14ac:dyDescent="0.25">
      <c r="A87" t="s">
        <v>34</v>
      </c>
      <c r="B87" t="s">
        <v>20</v>
      </c>
      <c r="C87" t="s">
        <v>35</v>
      </c>
      <c r="D87" t="s">
        <v>23</v>
      </c>
    </row>
    <row r="88" spans="1:4" x14ac:dyDescent="0.25">
      <c r="A88">
        <v>5</v>
      </c>
      <c r="B88">
        <v>166891</v>
      </c>
      <c r="C88">
        <v>37570</v>
      </c>
      <c r="D88">
        <f>B88/C88</f>
        <v>4.4421346819270697</v>
      </c>
    </row>
    <row r="89" spans="1:4" x14ac:dyDescent="0.25">
      <c r="A89">
        <v>10</v>
      </c>
      <c r="B89">
        <v>166891</v>
      </c>
      <c r="C89">
        <v>41312</v>
      </c>
      <c r="D89">
        <f>B89/C89</f>
        <v>4.03977052672347</v>
      </c>
    </row>
    <row r="90" spans="1:4" x14ac:dyDescent="0.25">
      <c r="A90">
        <v>15</v>
      </c>
      <c r="B90">
        <v>166891</v>
      </c>
      <c r="C90">
        <v>53662</v>
      </c>
      <c r="D90">
        <f>B90/C90</f>
        <v>3.1100406246505909</v>
      </c>
    </row>
    <row r="91" spans="1:4" x14ac:dyDescent="0.25">
      <c r="A91">
        <v>20</v>
      </c>
      <c r="B91">
        <v>166891</v>
      </c>
      <c r="C91">
        <v>62343</v>
      </c>
      <c r="D91">
        <f>B91/C91</f>
        <v>2.6769805752049147</v>
      </c>
    </row>
    <row r="92" spans="1:4" x14ac:dyDescent="0.25">
      <c r="A92">
        <v>25</v>
      </c>
      <c r="B92">
        <v>166891</v>
      </c>
      <c r="C92">
        <v>66929</v>
      </c>
      <c r="D92">
        <f>B92/C92</f>
        <v>2.4935528694586799</v>
      </c>
    </row>
  </sheetData>
  <pageMargins left="0.7" right="0.7" top="0.75" bottom="0.75" header="0.3" footer="0.3"/>
  <pageSetup paperSize="9" orientation="portrait" horizontalDpi="4294967292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Wesley</dc:creator>
  <cp:keywords/>
  <dc:description/>
  <cp:lastModifiedBy>Wesley</cp:lastModifiedBy>
  <cp:revision/>
  <cp:lastPrinted>2016-05-29T11:57:48Z</cp:lastPrinted>
  <dcterms:created xsi:type="dcterms:W3CDTF">2016-05-20T07:26:26Z</dcterms:created>
  <dcterms:modified xsi:type="dcterms:W3CDTF">2016-05-29T12:00:59Z</dcterms:modified>
  <cp:category/>
  <cp:contentStatus/>
</cp:coreProperties>
</file>